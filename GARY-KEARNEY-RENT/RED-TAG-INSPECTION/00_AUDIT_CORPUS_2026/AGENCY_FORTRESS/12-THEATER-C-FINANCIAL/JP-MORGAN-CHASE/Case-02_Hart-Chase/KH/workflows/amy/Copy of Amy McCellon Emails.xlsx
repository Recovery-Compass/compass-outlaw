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uha-sayegh-email-logo" sheetId="2" r:id="rId6"/>
    <sheet state="visible" name="fahed-freddy-sayegh-email-log" sheetId="3" r:id="rId7"/>
    <sheet state="visible" name="KHPOA — Amy McCellon Communicat" sheetId="4" r:id="rId8"/>
    <sheet state="hidden" name="Internal Logs" sheetId="5" r:id="rId9"/>
  </sheets>
  <definedNames/>
  <calcPr/>
</workbook>
</file>

<file path=xl/sharedStrings.xml><?xml version="1.0" encoding="utf-8"?>
<sst xmlns="http://schemas.openxmlformats.org/spreadsheetml/2006/main" count="579" uniqueCount="33">
  <si>
    <t>Amy McCellon amyjo043@gmail.com</t>
  </si>
  <si>
    <t>Log Date</t>
  </si>
  <si>
    <t>Message Date</t>
  </si>
  <si>
    <t>Message Sender</t>
  </si>
  <si>
    <t>Message Subject</t>
  </si>
  <si>
    <t>File Name</t>
  </si>
  <si>
    <t>Folder Path</t>
  </si>
  <si>
    <t>Nuha Sayegh nuha@recovery-compass.org</t>
  </si>
  <si>
    <t>Nuha Sayegh chefnuha@gmail.com</t>
  </si>
  <si>
    <t>Nuha Sayegh nuhasayegh.ca@gmail.com</t>
  </si>
  <si>
    <t>Freddy Sayegh Freddy@thefoxxfirm.com</t>
  </si>
  <si>
    <t>Internal Logs</t>
  </si>
  <si>
    <t>👋🏻 Please do not edit or delete this sheet)</t>
  </si>
  <si>
    <t>✔️  42 emails saved, Skipped Patricia therapy.vcf (152 B)</t>
  </si>
  <si>
    <t>✔️  47 emails saved, Skipped propPhoto.jpg (699 B), Skipped Fillipo.vcf (156 B)</t>
  </si>
  <si>
    <t>✔️  49 emails saved</t>
  </si>
  <si>
    <t>✔️  47 emails saved</t>
  </si>
  <si>
    <t>✔️  48 emails saved</t>
  </si>
  <si>
    <t>✔️  SAVE</t>
  </si>
  <si>
    <t>rule-1759782992267</t>
  </si>
  <si>
    <t>from:(nuha@recovery-compass.org OR nuhasayegh.ca@gmail.com OR chefnuha@gmail.com)</t>
  </si>
  <si>
    <t>✔️  4 emails saved</t>
  </si>
  <si>
    <t>rule-1759782656950</t>
  </si>
  <si>
    <t>from:(Freddy@thefoxxfirm.com)</t>
  </si>
  <si>
    <t>✔️  6 emails saved</t>
  </si>
  <si>
    <t>✔️  RUN</t>
  </si>
  <si>
    <t>rule-1759782054314</t>
  </si>
  <si>
    <t>from:(amyjo043@gmail.com) after:2025-09-04</t>
  </si>
  <si>
    <t>✔️  10 emails saved</t>
  </si>
  <si>
    <t>rule-1759484537374</t>
  </si>
  <si>
    <t>from:(amyjo043@gmail.com) subject:("Things") after:2025-10-02 before:2025-10-04</t>
  </si>
  <si>
    <t>✔️  1 emails saved</t>
  </si>
  <si>
    <t>✔️  Trigger 772772424524496896 Oct 03 2025 created trigger.1GkryExtPq9rl0fE1I4SIRSU7w-cYb7ThImlyAS1p2t8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</si>
</sst>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yy&quot; &quot;hh&quot;:&quot;mm"/>
    <numFmt numFmtId="165" formatCode="m/d/yyyy h:mm:ss"/>
  </numFmts>
  <fonts count="5">
    <font>
      <sz val="10.0"/>
      <color rgb="FF000000"/>
      <name val="Arial"/>
      <scheme val="minor"/>
    </font>
    <font>
      <color theme="1"/>
      <name val="Arial"/>
    </font>
    <font>
      <u/>
      <color rgb="FF0000FF"/>
    </font>
    <font>
      <sz val="8.0"/>
      <color theme="1"/>
      <name val="Oi"/>
    </font>
    <font>
      <u/>
      <sz val="8.0"/>
      <color rgb="FF0000FF"/>
      <name val="O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14" xfId="0" applyFont="1" applyNumberFormat="1"/>
    <xf borderId="0" fillId="0" fontId="1" numFmtId="0" xfId="0" applyFont="1"/>
    <xf borderId="0" fillId="0" fontId="2" numFmtId="0" xfId="0" applyFont="1"/>
    <xf borderId="0" fillId="0" fontId="3" numFmtId="164" xfId="0" applyAlignment="1" applyFont="1" applyNumberFormat="1">
      <alignment horizontal="center" vertical="center"/>
    </xf>
    <xf borderId="0" fillId="0" fontId="3" numFmtId="0" xfId="0" applyAlignment="1" applyFont="1">
      <alignment vertical="center"/>
    </xf>
    <xf borderId="0" fillId="0" fontId="4" numFmtId="0" xfId="0" applyAlignment="1" applyFont="1">
      <alignment vertical="center"/>
    </xf>
    <xf borderId="0" fillId="0" fontId="1" numFmtId="165" xfId="0" applyFont="1" applyNumberFormat="1"/>
  </cellXfs>
  <cellStyles count="1">
    <cellStyle xfId="0" name="Normal" builtinId="0"/>
  </cellStyles>
  <dxfs count="4">
    <dxf>
      <font/>
      <fill>
        <patternFill patternType="none"/>
      </fill>
      <border/>
    </dxf>
    <dxf>
      <font/>
      <fill>
        <patternFill patternType="solid">
          <fgColor rgb="FFC9DAF8"/>
          <bgColor rgb="FFC9DAF8"/>
        </patternFill>
      </fill>
      <border/>
    </dxf>
    <dxf>
      <font/>
      <fill>
        <patternFill patternType="solid">
          <fgColor rgb="FFFFFFFF"/>
          <bgColor rgb="FFFFFFFF"/>
        </patternFill>
      </fill>
      <border/>
    </dxf>
    <dxf>
      <font/>
      <fill>
        <patternFill patternType="solid">
          <fgColor rgb="FFE8F0FE"/>
          <bgColor rgb="FFE8F0FE"/>
        </patternFill>
      </fill>
      <border/>
    </dxf>
  </dxfs>
  <tableStyles count="3">
    <tableStyle count="3" pivot="0" name="nuha-sayegh-email-logo-style">
      <tableStyleElement dxfId="1" type="headerRow"/>
      <tableStyleElement dxfId="2" type="firstRowStripe"/>
      <tableStyleElement dxfId="3" type="secondRowStripe"/>
    </tableStyle>
    <tableStyle count="3" pivot="0" name="fahed-freddy-sayegh-email-log-style">
      <tableStyleElement dxfId="1" type="headerRow"/>
      <tableStyleElement dxfId="2" type="firstRowStripe"/>
      <tableStyleElement dxfId="3" type="secondRowStripe"/>
    </tableStyle>
    <tableStyle count="3" pivot="0" name="KHPOA — Amy McCellon Communica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G70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nuha-sayegh-email-log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G215"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fahed-freddy-sayegh-email-log-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G212"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KHPOA — Amy McCellon Communica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9.13"/>
    <col customWidth="1" min="3" max="3" width="31.38"/>
    <col customWidth="1" min="4" max="4" width="9.5"/>
    <col customWidth="1" min="5" max="5" width="46.5"/>
    <col customWidth="1" min="6" max="6" width="39.38"/>
  </cols>
  <sheetData>
    <row r="1" ht="15.75" customHeight="1"/>
    <row r="2" ht="15.75" customHeight="1">
      <c r="A2" s="1">
        <v>45933.11700938657</v>
      </c>
      <c r="B2" s="1">
        <v>45932.80778935185</v>
      </c>
      <c r="C2" s="2" t="s">
        <v>0</v>
      </c>
      <c r="D2" s="3" t="str">
        <f>HYPERLINK("https://mail.google.com/mail?extsrc=sync&amp;client=docs&amp;plid=ACUX6DPFgN-CozqsiTu0SFmjEVI3MGvsSNkqpHI", "Things")</f>
        <v>Things</v>
      </c>
      <c r="E2" s="3" t="str">
        <f>HYPERLINK("https://drive.google.com/file/d/1ggaspLkN4oCSHdGXdion9Fnu3ZrkrxXQ/view", "{date}{time}{from_name}_{subject}_KHPOA.pdf")</f>
        <v>{date}{time}{from_name}_{subject}_KHPOA.pdf</v>
      </c>
      <c r="F2" s="3" t="str">
        <f>HYPERLINK("https://drive.google.com/drive/folders/1fkK-CCdWKZVjjhDdSpDf8gm04Mh8FyoJ", "My Drive &gt; KH &gt; workflows &gt; amy")</f>
        <v>My Drive &gt; KH &gt; workflows &gt; amy</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31.38"/>
    <col customWidth="1" min="4" max="5" width="37.63"/>
    <col customWidth="1" min="6" max="6" width="62.63"/>
  </cols>
  <sheetData>
    <row r="1" ht="15.75" customHeight="1">
      <c r="A1" s="4" t="s">
        <v>1</v>
      </c>
      <c r="B1" s="4" t="s">
        <v>2</v>
      </c>
      <c r="C1" s="5" t="s">
        <v>3</v>
      </c>
      <c r="D1" s="5" t="s">
        <v>4</v>
      </c>
      <c r="E1" s="5" t="s">
        <v>5</v>
      </c>
      <c r="F1" s="5" t="s">
        <v>6</v>
      </c>
      <c r="G1" s="5"/>
    </row>
    <row r="2" ht="15.75" customHeight="1">
      <c r="A2" s="4">
        <v>45936.58904917824</v>
      </c>
      <c r="B2" s="4">
        <v>45898.9509837963</v>
      </c>
      <c r="C2" s="5" t="s">
        <v>7</v>
      </c>
      <c r="D2" s="6" t="str">
        <f>HYPERLINK("https://mail.google.com/mail?extsrc=sync&amp;client=docs&amp;plid=ACUX6DOOcFWVliKm0_voDb6B2cECQRxCzn_B5y8", " #1/2")</f>
        <v> #1/2</v>
      </c>
      <c r="E2" s="6" t="str">
        <f>HYPERLINK("https://drive.google.com/file/d/1zRzmTgr5-HJyppxS6wDtPb2WLN5BpBui/view", "IMG_4734.mp4")</f>
        <v>IMG_4734.mp4</v>
      </c>
      <c r="F2" s="6" t="str">
        <f t="shared" ref="F2:F501" si="1">HYPERLINK("https://drive.google.com/drive/folders/1A9DpvjllYTWuijOIPZM0yR8dtenIoPQj", "My Drive &gt; SVS &gt; emails &gt; Users &gt; ericjones &gt; Library &gt; CloudStorage &gt; GoogleDrive-eric@recovery-compass.org &gt; My &gt; Drive &gt; SVS &gt; emails &gt; ' &gt; Users &gt; ericjones &gt; Library &gt; CloudStorage &gt; GoogleDrive-eric@recovery-compass.org &gt; My Drive &gt; SVS &gt; emails &gt; n"&amp;"uha-sayegh'")</f>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 s="5"/>
    </row>
    <row r="3" ht="15.75" customHeight="1">
      <c r="A3" s="4">
        <v>45936.58904921296</v>
      </c>
      <c r="B3" s="4">
        <v>45898.9509837963</v>
      </c>
      <c r="C3" s="5" t="s">
        <v>7</v>
      </c>
      <c r="D3" s="6" t="str">
        <f>HYPERLINK("https://mail.google.com/mail?extsrc=sync&amp;client=docs&amp;plid=ACUX6DOOcFWVliKm0_voDb6B2cECQRxCzn_B5y8", " #2/2")</f>
        <v> #2/2</v>
      </c>
      <c r="E3" s="6" t="str">
        <f>HYPERLINK("https://drive.google.com/file/d/1tyrmI5-0ccr7gnzyVFq5Ic7avEHOAgNd/view", "IMG_4734.txt")</f>
        <v>IMG_4734.txt</v>
      </c>
      <c r="F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 s="5"/>
    </row>
    <row r="4" ht="15.75" customHeight="1">
      <c r="A4" s="4">
        <v>45936.58908464121</v>
      </c>
      <c r="B4" s="4">
        <v>45898.9509837963</v>
      </c>
      <c r="C4" s="5" t="s">
        <v>7</v>
      </c>
      <c r="D4" s="6" t="str">
        <f>HYPERLINK("https://mail.google.com/mail?extsrc=sync&amp;client=docs&amp;plid=ACUX6DOOcFWVliKm0_voDb6B2cECQRxCzn_B5y8", "")</f>
        <v/>
      </c>
      <c r="E4" s="6" t="str">
        <f>HYPERLINK("https://drive.google.com/file/d/18D4Lpht41-ux3N-3pL7QdvfBG7DWzdrI/view", "1759784895692.pdf")</f>
        <v>1759784895692.pdf</v>
      </c>
      <c r="F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 s="5"/>
    </row>
    <row r="5" ht="15.75" customHeight="1">
      <c r="A5" s="4">
        <v>45936.58882042824</v>
      </c>
      <c r="B5" s="4">
        <v>45897.79398148148</v>
      </c>
      <c r="C5" s="5" t="s">
        <v>7</v>
      </c>
      <c r="D5" s="6" t="str">
        <f>HYPERLINK("https://mail.google.com/mail?extsrc=sync&amp;client=docs&amp;plid=ACUX6DOIMe1MJaSWKUEPU-dhEhbllJdfruqcwbA", "Re: Update")</f>
        <v>Re: Update</v>
      </c>
      <c r="E5" s="6" t="str">
        <f>HYPERLINK("https://drive.google.com/file/d/1I1DUNjTyftapR0Nj0yOkBKzBHR3vnw5Z/view", "Re Update.pdf")</f>
        <v>Re Update.pdf</v>
      </c>
      <c r="F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 s="5"/>
    </row>
    <row r="6" ht="15.75" customHeight="1">
      <c r="A6" s="4">
        <v>45936.58877021991</v>
      </c>
      <c r="B6" s="4">
        <v>45904.66144675926</v>
      </c>
      <c r="C6" s="5" t="s">
        <v>7</v>
      </c>
      <c r="D6" s="6" t="str">
        <f t="shared" ref="D6:D7" si="2">HYPERLINK("https://mail.google.com/mail?extsrc=sync&amp;client=docs&amp;plid=ACUX6DMwr3MmgtqaaUDxrG0tk9l5ycek93gUld0", "Check out this home I found on Zillow")</f>
        <v>Check out this home I found on Zillow</v>
      </c>
      <c r="E6" s="6" t="str">
        <f>HYPERLINK("https://drive.google.com/file/d/1av8QnpAQEQQaD4GY5iafiUHEx-TbHKmk/view", "68481.jpg")</f>
        <v>68481.jpg</v>
      </c>
      <c r="F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 s="5"/>
    </row>
    <row r="7" ht="15.75" customHeight="1">
      <c r="A7" s="4">
        <v>45936.5887932176</v>
      </c>
      <c r="B7" s="4">
        <v>45904.66144675926</v>
      </c>
      <c r="C7" s="5" t="s">
        <v>7</v>
      </c>
      <c r="D7" s="6" t="str">
        <f t="shared" si="2"/>
        <v>Check out this home I found on Zillow</v>
      </c>
      <c r="E7" s="6" t="str">
        <f>HYPERLINK("https://drive.google.com/file/d/1QvbesL7FQdVNucyiaMD216kLsay_1o4A/view", "Check out this home I found on Zillow.pdf")</f>
        <v>Check out this home I found on Zillow.pdf</v>
      </c>
      <c r="F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 s="5"/>
    </row>
    <row r="8" ht="15.75" customHeight="1">
      <c r="A8" s="4">
        <v>45936.588725520836</v>
      </c>
      <c r="B8" s="4">
        <v>45898.329930555556</v>
      </c>
      <c r="C8" s="5" t="s">
        <v>7</v>
      </c>
      <c r="D8" s="6" t="str">
        <f>HYPERLINK("https://mail.google.com/mail?extsrc=sync&amp;client=docs&amp;plid=ACUX6DMq6LolsTSl46AtCfugSpaqJbfcfdNEYZ0", "OPEN!! Kathy’s Surgeon voicemail-50182950752 #1/2")</f>
        <v>OPEN!! Kathy’s Surgeon voicemail-50182950752 #1/2</v>
      </c>
      <c r="E8" s="6" t="str">
        <f>HYPERLINK("https://drive.google.com/file/d/18Geyixgatb7gKC0dN940yyjRsMQYxYBm/view", "voicemail-50182950752.m4a")</f>
        <v>voicemail-50182950752.m4a</v>
      </c>
      <c r="F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 s="5"/>
    </row>
    <row r="9" ht="15.75" customHeight="1">
      <c r="A9" s="4">
        <v>45936.58872626157</v>
      </c>
      <c r="B9" s="4">
        <v>45898.329930555556</v>
      </c>
      <c r="C9" s="5" t="s">
        <v>7</v>
      </c>
      <c r="D9" s="6" t="str">
        <f>HYPERLINK("https://mail.google.com/mail?extsrc=sync&amp;client=docs&amp;plid=ACUX6DMq6LolsTSl46AtCfugSpaqJbfcfdNEYZ0", "OPEN!! Kathy’s Surgeon voicemail-50182950752 #2/2")</f>
        <v>OPEN!! Kathy’s Surgeon voicemail-50182950752 #2/2</v>
      </c>
      <c r="E9" s="6" t="str">
        <f>HYPERLINK("https://drive.google.com/file/d/1JMUqrE3yQFz2s0MyhMm2dGjYA04PswIX/view", "voicemail-50182950752.txt")</f>
        <v>voicemail-50182950752.txt</v>
      </c>
      <c r="F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 s="5"/>
    </row>
    <row r="10" ht="15.75" customHeight="1">
      <c r="A10" s="4">
        <v>45936.58874736111</v>
      </c>
      <c r="B10" s="4">
        <v>45898.329930555556</v>
      </c>
      <c r="C10" s="5" t="s">
        <v>7</v>
      </c>
      <c r="D10" s="6" t="str">
        <f>HYPERLINK("https://mail.google.com/mail?extsrc=sync&amp;client=docs&amp;plid=ACUX6DMq6LolsTSl46AtCfugSpaqJbfcfdNEYZ0", "OPEN!! Kathy’s Surgeon voicemail-50182950752")</f>
        <v>OPEN!! Kathy’s Surgeon voicemail-50182950752</v>
      </c>
      <c r="E10" s="6" t="str">
        <f>HYPERLINK("https://drive.google.com/file/d/1FBlzVr2L1f7EsE9M_Mr-vJZfgxP_R_52/view", "OPEN!! Kathy’s Surgeon voicemail-50182950752.pdf")</f>
        <v>OPEN!! Kathy’s Surgeon voicemail-50182950752.pdf</v>
      </c>
      <c r="F1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 s="5"/>
    </row>
    <row r="11" ht="15.75" customHeight="1">
      <c r="A11" s="4">
        <v>45936.588622152776</v>
      </c>
      <c r="B11" s="4">
        <v>45904.7975</v>
      </c>
      <c r="C11" s="5" t="s">
        <v>7</v>
      </c>
      <c r="D11" s="6" t="str">
        <f t="shared" ref="D11:D12" si="3">HYPERLINK("https://mail.google.com/mail?extsrc=sync&amp;client=docs&amp;plid=ACUX6DPAuqK8AXLNjY1kDce0mSzJIqWU7CC9irU", "")</f>
        <v/>
      </c>
      <c r="E11" s="6" t="str">
        <f>HYPERLINK("https://drive.google.com/file/d/1kXz9Cw4s68qE2OoQzIUNnvhFFL75s8gp/view", "2F943B11-DFC3-4F51-A923-312321A72608.png")</f>
        <v>2F943B11-DFC3-4F51-A923-312321A72608.png</v>
      </c>
      <c r="F1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 s="5"/>
    </row>
    <row r="12" ht="15.75" customHeight="1">
      <c r="A12" s="4">
        <v>45936.58864736111</v>
      </c>
      <c r="B12" s="4">
        <v>45904.7975</v>
      </c>
      <c r="C12" s="5" t="s">
        <v>7</v>
      </c>
      <c r="D12" s="6" t="str">
        <f t="shared" si="3"/>
        <v/>
      </c>
      <c r="E12" s="6" t="str">
        <f>HYPERLINK("https://drive.google.com/file/d/14uieC7ZdiD4KZLq1J0Q4twlRYAF5YUmg/view", "1759784857804.pdf")</f>
        <v>1759784857804.pdf</v>
      </c>
      <c r="F1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 s="5"/>
    </row>
    <row r="13" ht="15.75" customHeight="1">
      <c r="A13" s="4">
        <v>45936.58859505787</v>
      </c>
      <c r="B13" s="4">
        <v>45904.71097222222</v>
      </c>
      <c r="C13" s="5" t="s">
        <v>7</v>
      </c>
      <c r="D13" s="6" t="str">
        <f>HYPERLINK("https://mail.google.com/mail?extsrc=sync&amp;client=docs&amp;plid=ACUX6DMILQu4jROjUqYQzl_gnf5b-japWK4zSUo", "This is the phone number. His name is Jonathan.")</f>
        <v>This is the phone number. His name is Jonathan.</v>
      </c>
      <c r="E13" s="6" t="str">
        <f>HYPERLINK("https://drive.google.com/file/d/1wniUyA2SR0vyvucXLt54tt-shaQ5vn4E/view", "This is the phone number. His name is Jonathan..pdf")</f>
        <v>This is the phone number. His name is Jonathan..pdf</v>
      </c>
      <c r="F1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 s="5"/>
    </row>
    <row r="14" ht="15.75" customHeight="1">
      <c r="A14" s="4">
        <v>45936.588565729166</v>
      </c>
      <c r="B14" s="4">
        <v>45896.57850694444</v>
      </c>
      <c r="C14" s="5" t="s">
        <v>7</v>
      </c>
      <c r="D14" s="6" t="str">
        <f t="shared" ref="D14:D15" si="4">HYPERLINK("https://mail.google.com/mail?extsrc=sync&amp;client=docs&amp;plid=ACUX6DMeP2zpUtA416B_Xwrcd1Xs6wdifmIMkL0", "Re: good news")</f>
        <v>Re: good news</v>
      </c>
      <c r="E14" s="6" t="str">
        <f>HYPERLINK("https://drive.google.com/file/d/1NuGSWaW-A64kuIy0kheFrY5-mbT2ZTWc/view", "Re good news.pdf")</f>
        <v>Re good news.pdf</v>
      </c>
      <c r="F1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 s="5"/>
    </row>
    <row r="15" ht="15.75" customHeight="1">
      <c r="A15" s="4">
        <v>45936.588543819445</v>
      </c>
      <c r="B15" s="4">
        <v>45896.57340277778</v>
      </c>
      <c r="C15" s="5" t="s">
        <v>7</v>
      </c>
      <c r="D15" s="6" t="str">
        <f t="shared" si="4"/>
        <v>Re: good news</v>
      </c>
      <c r="E15" s="6" t="str">
        <f>HYPERLINK("https://drive.google.com/file/d/1QkJOwTGANeBy5rSGvmpN0l3FO80oYqyj/view", "Re good news.pdf")</f>
        <v>Re good news.pdf</v>
      </c>
      <c r="F1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 s="5"/>
    </row>
    <row r="16" ht="15.75" customHeight="1">
      <c r="A16" s="4">
        <v>45936.58851990741</v>
      </c>
      <c r="B16" s="4">
        <v>45904.44630787037</v>
      </c>
      <c r="C16" s="5" t="s">
        <v>7</v>
      </c>
      <c r="D16" s="6" t="str">
        <f>HYPERLINK("https://mail.google.com/mail?extsrc=sync&amp;client=docs&amp;plid=ACUX6DN4PwOUHCHuBC-ig4iih_Hku1Vk4Wndc5Q", "")</f>
        <v/>
      </c>
      <c r="E16" s="6" t="str">
        <f>HYPERLINK("https://drive.google.com/file/d/1rhKSiVNwtrkeIL1HOHgzB0PBAoXk-u68/view", "1759784846617.pdf")</f>
        <v>1759784846617.pdf</v>
      </c>
      <c r="F1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 s="5"/>
    </row>
    <row r="17" ht="15.75" customHeight="1">
      <c r="A17" s="4">
        <v>45936.58849372686</v>
      </c>
      <c r="B17" s="4">
        <v>45901.84940972222</v>
      </c>
      <c r="C17" s="5" t="s">
        <v>7</v>
      </c>
      <c r="D17" s="6" t="str">
        <f>HYPERLINK("https://mail.google.com/mail?extsrc=sync&amp;client=docs&amp;plid=ACUX6DMn6RWgqEmyXdvYxLScn1_1o3BpSxzzl8w", "Re:")</f>
        <v>Re:</v>
      </c>
      <c r="E17" s="6" t="str">
        <f>HYPERLINK("https://drive.google.com/file/d/1nuRl47PBBb-L3I3FhWGrlpdvBhS-OHq0/view", "Re.pdf")</f>
        <v>Re.pdf</v>
      </c>
      <c r="F1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 s="5"/>
    </row>
    <row r="18" ht="15.75" customHeight="1">
      <c r="A18" s="4">
        <v>45936.58844952546</v>
      </c>
      <c r="B18" s="4">
        <v>45901.60460648148</v>
      </c>
      <c r="C18" s="5" t="s">
        <v>7</v>
      </c>
      <c r="D18" s="6" t="str">
        <f>HYPERLINK("https://mail.google.com/mail?extsrc=sync&amp;client=docs&amp;plid=ACUX6DMn6RWgqEmyXdvYxLScn1_1o3BpSxzzl8w", " #1/2")</f>
        <v> #1/2</v>
      </c>
      <c r="E18" s="6" t="str">
        <f>HYPERLINK("https://drive.google.com/file/d/1QoQ6F0PMpZd4yofUXyMArcQA7_1c-FZA/view", "IMG_4778.jpeg")</f>
        <v>IMG_4778.jpeg</v>
      </c>
      <c r="F1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 s="5"/>
    </row>
    <row r="19" ht="15.75" customHeight="1">
      <c r="A19" s="4">
        <v>45936.58845016204</v>
      </c>
      <c r="B19" s="4">
        <v>45901.60460648148</v>
      </c>
      <c r="C19" s="5" t="s">
        <v>7</v>
      </c>
      <c r="D19" s="6" t="str">
        <f>HYPERLINK("https://mail.google.com/mail?extsrc=sync&amp;client=docs&amp;plid=ACUX6DMn6RWgqEmyXdvYxLScn1_1o3BpSxzzl8w", " #2/2")</f>
        <v> #2/2</v>
      </c>
      <c r="E19" s="6" t="str">
        <f>HYPERLINK("https://drive.google.com/file/d/1cjJx3BGMD9YGYgzbLsGMHss1E52WuIU8/view", "IMG_4776.jpeg")</f>
        <v>IMG_4776.jpeg</v>
      </c>
      <c r="F1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 s="5"/>
    </row>
    <row r="20" ht="15.75" customHeight="1">
      <c r="A20" s="4">
        <v>45936.58847341435</v>
      </c>
      <c r="B20" s="4">
        <v>45901.60460648148</v>
      </c>
      <c r="C20" s="5" t="s">
        <v>7</v>
      </c>
      <c r="D20" s="6" t="str">
        <f>HYPERLINK("https://mail.google.com/mail?extsrc=sync&amp;client=docs&amp;plid=ACUX6DMn6RWgqEmyXdvYxLScn1_1o3BpSxzzl8w", "")</f>
        <v/>
      </c>
      <c r="E20" s="6" t="str">
        <f>HYPERLINK("https://drive.google.com/file/d/1xuOX-TgcjLp4c6Xs05NKv7HdDRihHXhV/view", "1759784842945.pdf")</f>
        <v>1759784842945.pdf</v>
      </c>
      <c r="F2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 s="5"/>
    </row>
    <row r="21" ht="15.75" customHeight="1">
      <c r="A21" s="4">
        <v>45936.588368275465</v>
      </c>
      <c r="B21" s="4">
        <v>45904.61559027778</v>
      </c>
      <c r="C21" s="5" t="s">
        <v>7</v>
      </c>
      <c r="D21" s="6" t="str">
        <f t="shared" ref="D21:D22" si="5">HYPERLINK("https://mail.google.com/mail?extsrc=sync&amp;client=docs&amp;plid=ACUX6DMF1UWzj2HQJcEfOjhkeaBiogvgxU8J6h8", "")</f>
        <v/>
      </c>
      <c r="E21" s="6" t="str">
        <f>HYPERLINK("https://drive.google.com/file/d/1LE7_qtiT3fHsZ6-9yEBEzL6FVYD_E2NL/view", "A20DCD36-A89D-402B-893A-87B65D6D7AA5.png")</f>
        <v>A20DCD36-A89D-402B-893A-87B65D6D7AA5.png</v>
      </c>
      <c r="F2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 s="5"/>
    </row>
    <row r="22" ht="15.75" customHeight="1">
      <c r="A22" s="4">
        <v>45936.58838945602</v>
      </c>
      <c r="B22" s="4">
        <v>45904.61559027778</v>
      </c>
      <c r="C22" s="5" t="s">
        <v>7</v>
      </c>
      <c r="D22" s="6" t="str">
        <f t="shared" si="5"/>
        <v/>
      </c>
      <c r="E22" s="6" t="str">
        <f>HYPERLINK("https://drive.google.com/file/d/1prsoOC7o38XekqIOu_K2Y2qVh2Rb5NCg/view", "1759784835639.pdf")</f>
        <v>1759784835639.pdf</v>
      </c>
      <c r="F2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 s="5"/>
    </row>
    <row r="23" ht="15.75" customHeight="1">
      <c r="A23" s="4">
        <v>45936.588342256946</v>
      </c>
      <c r="B23" s="4">
        <v>45900.56930555556</v>
      </c>
      <c r="C23" s="5" t="s">
        <v>8</v>
      </c>
      <c r="D23" s="6" t="str">
        <f>HYPERLINK("https://mail.google.com/mail?extsrc=sync&amp;client=docs&amp;plid=ACUX6DNp0R-aQKMyIaVWC-GpYkeaa4qA5IIalOw", "Spaz vet appointment")</f>
        <v>Spaz vet appointment</v>
      </c>
      <c r="E23" s="6" t="str">
        <f>HYPERLINK("https://drive.google.com/file/d/1wQ0vW4_DdseOPVLG6f9GjTtZbB9qgRA_/view", "Spaz vet appointment.pdf")</f>
        <v>Spaz vet appointment.pdf</v>
      </c>
      <c r="F2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 s="5"/>
    </row>
    <row r="24" ht="15.75" customHeight="1">
      <c r="A24" s="4">
        <v>45936.58829273148</v>
      </c>
      <c r="B24" s="4">
        <v>45904.641331018516</v>
      </c>
      <c r="C24" s="5" t="s">
        <v>7</v>
      </c>
      <c r="D24" s="6" t="str">
        <f t="shared" ref="D24:D25" si="6">HYPERLINK("https://mail.google.com/mail?extsrc=sync&amp;client=docs&amp;plid=ACUX6DMF2lsZfQLvRdoj78-aMPtZ1jUNrpOiQKw", "This is the property. This is the one I need to fill out the application for immediately I’m not gonna get better than this. I’m literally two blocks away from you and it’s a nice place for 3300.")</f>
        <v>This is the property. This is the one I need to fill out the application for immediately I’m not gonna get better than this. I’m literally two blocks away from you and it’s a nice place for 3300.</v>
      </c>
      <c r="E24" s="6" t="str">
        <f>HYPERLINK("https://drive.google.com/file/d/1W6wKIg9R0zsBmeTruOTuNVBTnZDaXxax/view", "48663.jpg")</f>
        <v>48663.jpg</v>
      </c>
      <c r="F2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 s="5"/>
    </row>
    <row r="25" ht="15.75" customHeight="1">
      <c r="A25" s="4">
        <v>45936.58832016204</v>
      </c>
      <c r="B25" s="4">
        <v>45904.641331018516</v>
      </c>
      <c r="C25" s="5" t="s">
        <v>7</v>
      </c>
      <c r="D25" s="6" t="str">
        <f t="shared" si="6"/>
        <v>This is the property. This is the one I need to fill out the application for immediately I’m not gonna get better than this. I’m literally two blocks away from you and it’s a nice place for 3300.</v>
      </c>
      <c r="E25" s="6" t="str">
        <f>HYPERLINK("https://drive.google.com/file/d/1bym8wecGGj6TAwZy_ZbfNX8Utv9rdv3I/view", "This is the property. This is the one I need to fill out the application for immediately I’m not gonna get better than this. I’m literally two blocks away from you and it’s a nice place for 3300..pdf")</f>
        <v>This is the property. This is the one I need to fill out the application for immediately I’m not gonna get better than this. I’m literally two blocks away from you and it’s a nice place for 3300..pdf</v>
      </c>
      <c r="F2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 s="5"/>
    </row>
    <row r="26" ht="15.75" customHeight="1">
      <c r="A26" s="4">
        <v>45936.58824725694</v>
      </c>
      <c r="B26" s="4">
        <v>45904.64009259259</v>
      </c>
      <c r="C26" s="5" t="s">
        <v>7</v>
      </c>
      <c r="D26" s="6" t="str">
        <f t="shared" ref="D26:D27" si="7">HYPERLINK("https://mail.google.com/mail?extsrc=sync&amp;client=docs&amp;plid=ACUX6DPRNdxdPu5JFqhcE8t7xOU9UaQo8MI8DSo", "This right here is that phone call that I got off of when you were sitting on the couch that’s a really good price for three bedroom. It’s in Deala) though that’s the problem.")</f>
        <v>This right here is that phone call that I got off of when you were sitting on the couch that’s a really good price for three bedroom. It’s in Deala) though that’s the problem.</v>
      </c>
      <c r="E26" s="6" t="str">
        <f>HYPERLINK("https://drive.google.com/file/d/1to-DRtd9JHl-cyNGiUdVaE9_OVQMIezd/view", "CA9194D9-73F6-4468-A883-6CCAC69C4542.png")</f>
        <v>CA9194D9-73F6-4468-A883-6CCAC69C4542.png</v>
      </c>
      <c r="F2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 s="5"/>
    </row>
    <row r="27" ht="15.75" customHeight="1">
      <c r="A27" s="4">
        <v>45936.58826822917</v>
      </c>
      <c r="B27" s="4">
        <v>45904.64009259259</v>
      </c>
      <c r="C27" s="5" t="s">
        <v>7</v>
      </c>
      <c r="D27" s="6" t="str">
        <f t="shared" si="7"/>
        <v>This right here is that phone call that I got off of when you were sitting on the couch that’s a really good price for three bedroom. It’s in Deala) though that’s the problem.</v>
      </c>
      <c r="E27" s="6" t="str">
        <f>HYPERLINK("https://drive.google.com/file/d/1hUG2F3ad-ftGJ67MRPhA_n4IwUheWaLc/view", "This right here is that phone call that I got off of when you were sitting on the couch that’s a really good price for three bedroom. It’s in Deala) though that’s the problem..pdf")</f>
        <v>This right here is that phone call that I got off of when you were sitting on the couch that’s a really good price for three bedroom. It’s in Deala) though that’s the problem..pdf</v>
      </c>
      <c r="F2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 s="5"/>
    </row>
    <row r="28" ht="15.75" customHeight="1">
      <c r="A28" s="4">
        <v>45936.588193194446</v>
      </c>
      <c r="B28" s="4">
        <v>45905.51204861111</v>
      </c>
      <c r="C28" s="5" t="s">
        <v>7</v>
      </c>
      <c r="D28" s="6" t="str">
        <f>HYPERLINK("https://mail.google.com/mail?extsrc=sync&amp;client=docs&amp;plid=ACUX6DMj2LwSORkAl3cEE9HpahiMD4EaHeos9pw", "Bank statement last month")</f>
        <v>Bank statement last month</v>
      </c>
      <c r="E28" s="6" t="str">
        <f>HYPERLINK("https://drive.google.com/file/d/1N3iqnodr0zSa0WvptgXnA30SFXlEKd7u/view", "BD154ACA-C829-4E74-A6B5-7F2BEF234F38-list.pdf")</f>
        <v>BD154ACA-C829-4E74-A6B5-7F2BEF234F38-list.pdf</v>
      </c>
      <c r="F2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 s="5"/>
    </row>
    <row r="29" ht="15.75" customHeight="1">
      <c r="A29" s="4">
        <v>45936.58816796297</v>
      </c>
      <c r="B29" s="4">
        <v>45903.11552083334</v>
      </c>
      <c r="C29" s="5" t="s">
        <v>7</v>
      </c>
      <c r="D29" s="6" t="str">
        <f>HYPERLINK("https://mail.google.com/mail?extsrc=sync&amp;client=docs&amp;plid=ACUX6DPVKnNLzYYEhBEc4gO_irJwWenieJfzTVw", "Please be honest")</f>
        <v>Please be honest</v>
      </c>
      <c r="E29" s="6" t="str">
        <f>HYPERLINK("https://drive.google.com/file/d/1Gztx7nE8bzJAyByUppApr5sbaoZiFD41/view", "Please be honest.pdf")</f>
        <v>Please be honest.pdf</v>
      </c>
      <c r="F2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 s="5"/>
    </row>
    <row r="30" ht="15.75" customHeight="1">
      <c r="A30" s="4">
        <v>45936.58814337963</v>
      </c>
      <c r="B30" s="4">
        <v>45903.0720949074</v>
      </c>
      <c r="C30" s="5" t="s">
        <v>7</v>
      </c>
      <c r="D30" s="6" t="str">
        <f>HYPERLINK("https://mail.google.com/mail?extsrc=sync&amp;client=docs&amp;plid=ACUX6DNShilRnjINhPha3JrNA-hHHZY_fixT_OE", "")</f>
        <v/>
      </c>
      <c r="E30" s="6" t="str">
        <f>HYPERLINK("https://drive.google.com/file/d/1QmI3IzVmxJduouf45HOt79vJBOZ08AAT/view", "1759784814264.pdf")</f>
        <v>1759784814264.pdf</v>
      </c>
      <c r="F3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 s="5"/>
    </row>
    <row r="31" ht="15.75" customHeight="1">
      <c r="A31" s="4">
        <v>45936.588114363425</v>
      </c>
      <c r="B31" s="4">
        <v>45899.95510416667</v>
      </c>
      <c r="C31" s="5" t="s">
        <v>7</v>
      </c>
      <c r="D31" s="6" t="str">
        <f t="shared" ref="D31:D33" si="8">HYPERLINK("https://mail.google.com/mail?extsrc=sync&amp;client=docs&amp;plid=ACUX6DNS7piv_kJNZiiXo3K_Bnx0RnnHJkRCFqg", "Re:")</f>
        <v>Re:</v>
      </c>
      <c r="E31" s="6" t="str">
        <f>HYPERLINK("https://drive.google.com/file/d/1XSp4yaRPN64HOtS7WNHrbzEFrxug3SHF/view", "Re.pdf")</f>
        <v>Re.pdf</v>
      </c>
      <c r="F3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 s="5"/>
    </row>
    <row r="32" ht="15.75" customHeight="1">
      <c r="A32" s="4">
        <v>45936.58804371528</v>
      </c>
      <c r="B32" s="4">
        <v>45899.964849537035</v>
      </c>
      <c r="C32" s="5" t="s">
        <v>7</v>
      </c>
      <c r="D32" s="6" t="str">
        <f t="shared" si="8"/>
        <v>Re:</v>
      </c>
      <c r="E32" s="6" t="str">
        <f>HYPERLINK("https://drive.google.com/file/d/1PV6VWbdvssNr59VTw3DNBv4UqxECkYFm/view", "IMG_4750.jpeg")</f>
        <v>IMG_4750.jpeg</v>
      </c>
      <c r="F3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 s="5"/>
    </row>
    <row r="33" ht="15.75" customHeight="1">
      <c r="A33" s="4">
        <v>45936.588078113426</v>
      </c>
      <c r="B33" s="4">
        <v>45899.964849537035</v>
      </c>
      <c r="C33" s="5" t="s">
        <v>7</v>
      </c>
      <c r="D33" s="6" t="str">
        <f t="shared" si="8"/>
        <v>Re:</v>
      </c>
      <c r="E33" s="6" t="str">
        <f>HYPERLINK("https://drive.google.com/file/d/15oQJjPcs-zUqfrkaBk3hb-b9ZF8Uv81E/view", "Re.pdf")</f>
        <v>Re.pdf</v>
      </c>
      <c r="F3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 s="5"/>
    </row>
    <row r="34" ht="15.75" customHeight="1">
      <c r="A34" s="4">
        <v>45936.58801394676</v>
      </c>
      <c r="B34" s="4">
        <v>45898.45211805556</v>
      </c>
      <c r="C34" s="5" t="s">
        <v>7</v>
      </c>
      <c r="D34" s="6" t="str">
        <f>HYPERLINK("https://mail.google.com/mail?extsrc=sync&amp;client=docs&amp;plid=ACUX6DMLxHF2c9lT9BaxptDQba6z-dzUvI3cmF4", "Therapist contact info. She’ll call you right back. If you call her now leave a message or even text her. She’ll call you. I will text her now and let her know that you will be.")</f>
        <v>Therapist contact info. She’ll call you right back. If you call her now leave a message or even text her. She’ll call you. I will text her now and let her know that you will be.</v>
      </c>
      <c r="E34" s="6" t="str">
        <f>HYPERLINK("https://drive.google.com/file/d/11eHpTL9uwBv71PWq920F-BeXFtc5XlFk/view", "Therapist contact info. She’ll call you right back. If you call her now leave a message or even text her. She’ll call you. I will text her now and let her know that you will be..pdf")</f>
        <v>Therapist contact info. She’ll call you right back. If you call her now leave a message or even text her. She’ll call you. I will text her now and let her know that you will be..pdf</v>
      </c>
      <c r="F3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 s="5"/>
    </row>
    <row r="35" ht="15.75" customHeight="1">
      <c r="A35" s="4">
        <v>45936.58795821759</v>
      </c>
      <c r="B35" s="4">
        <v>45905.089953703704</v>
      </c>
      <c r="C35" s="5" t="s">
        <v>7</v>
      </c>
      <c r="D35" s="6" t="str">
        <f t="shared" ref="D35:D36" si="9">HYPERLINK("https://mail.google.com/mail?extsrc=sync&amp;client=docs&amp;plid=ACUX6DMnEVVCMOLEAMo6cKS3HVbyT_bdrLQ8xlI", "Re: I’m going to bed good night but I’m telling you this is it this one right here")</f>
        <v>Re: I’m going to bed good night but I’m telling you this is it this one right here</v>
      </c>
      <c r="E35" s="6" t="str">
        <f>HYPERLINK("https://drive.google.com/file/d/1A4dENIwIIl9j4cQlAA6JJqAqZKiKc5I4/view", "14714.jpg")</f>
        <v>14714.jpg</v>
      </c>
      <c r="F3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 s="5"/>
    </row>
    <row r="36" ht="15.75" customHeight="1">
      <c r="A36" s="4">
        <v>45936.58798378472</v>
      </c>
      <c r="B36" s="4">
        <v>45905.089953703704</v>
      </c>
      <c r="C36" s="5" t="s">
        <v>7</v>
      </c>
      <c r="D36" s="6" t="str">
        <f t="shared" si="9"/>
        <v>Re: I’m going to bed good night but I’m telling you this is it this one right here</v>
      </c>
      <c r="E36" s="6" t="str">
        <f>HYPERLINK("https://drive.google.com/file/d/1mJNu7nEPawSGhHvHlb0SAhrLrZN_NXzJ/view", "Re I’m going to bed good night but I’m telling you this is it this one right here.pdf")</f>
        <v>Re I’m going to bed good night but I’m telling you this is it this one right here.pdf</v>
      </c>
      <c r="F3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 s="5"/>
    </row>
    <row r="37" ht="15.75" customHeight="1">
      <c r="A37" s="4">
        <v>45936.5879228125</v>
      </c>
      <c r="B37" s="4">
        <v>45905.51111111111</v>
      </c>
      <c r="C37" s="5" t="s">
        <v>7</v>
      </c>
      <c r="D37" s="6" t="str">
        <f>HYPERLINK("https://mail.google.com/mail?extsrc=sync&amp;client=docs&amp;plid=ACUX6DOlbQ-N8uJ2PBttEMqdVvR7QQAeWVJ7Hk8", "So this is my moms bank statement")</f>
        <v>So this is my moms bank statement</v>
      </c>
      <c r="E37" s="6" t="str">
        <f>HYPERLINK("https://drive.google.com/file/d/1mzBLAZxxDEoiraeEIAwMOujnmf014u9M/view", "107CCD0B-7294-4EAB-9A16-CF749E834EB1-list.pdf")</f>
        <v>107CCD0B-7294-4EAB-9A16-CF749E834EB1-list.pdf</v>
      </c>
      <c r="F3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 s="5"/>
    </row>
    <row r="38" ht="15.75" customHeight="1">
      <c r="A38" s="4">
        <v>45936.58787560185</v>
      </c>
      <c r="B38" s="4">
        <v>45902.69136574074</v>
      </c>
      <c r="C38" s="5" t="s">
        <v>7</v>
      </c>
      <c r="D38" s="6" t="str">
        <f t="shared" ref="D38:D46" si="10">HYPERLINK("https://mail.google.com/mail?extsrc=sync&amp;client=docs&amp;plid=ACUX6DN1vwl18R3sBP1tniFH4-ousRk9ya-zrjc", "Re:")</f>
        <v>Re:</v>
      </c>
      <c r="E38" s="6" t="str">
        <f>HYPERLINK("https://drive.google.com/file/d/1x566r8AfdNVMl23hq4wnC_XYOzRyJ-3v/view", "Re.pdf")</f>
        <v>Re.pdf</v>
      </c>
      <c r="F3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 s="5"/>
    </row>
    <row r="39" ht="15.75" customHeight="1">
      <c r="A39" s="4">
        <v>45936.58785052084</v>
      </c>
      <c r="B39" s="4">
        <v>45902.54141203704</v>
      </c>
      <c r="C39" s="5" t="s">
        <v>7</v>
      </c>
      <c r="D39" s="6" t="str">
        <f t="shared" si="10"/>
        <v>Re:</v>
      </c>
      <c r="E39" s="6" t="str">
        <f>HYPERLINK("https://drive.google.com/file/d/1sO2Rg8VzFL--aA5Z5rGag4Hm6K61qjbW/view", "Re.pdf")</f>
        <v>Re.pdf</v>
      </c>
      <c r="F3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 s="5"/>
    </row>
    <row r="40" ht="15.75" customHeight="1">
      <c r="A40" s="4">
        <v>45936.58782667824</v>
      </c>
      <c r="B40" s="4">
        <v>45902.58280092593</v>
      </c>
      <c r="C40" s="5" t="s">
        <v>7</v>
      </c>
      <c r="D40" s="6" t="str">
        <f t="shared" si="10"/>
        <v>Re:</v>
      </c>
      <c r="E40" s="6" t="str">
        <f>HYPERLINK("https://drive.google.com/file/d/1fk-bndzCrlTVTnkQ6KE4dc3uGoLcYvq-/view", "Re.pdf")</f>
        <v>Re.pdf</v>
      </c>
      <c r="F4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 s="5"/>
    </row>
    <row r="41" ht="15.75" customHeight="1">
      <c r="A41" s="4">
        <v>45936.58777540509</v>
      </c>
      <c r="B41" s="4">
        <v>45902.631944444445</v>
      </c>
      <c r="C41" s="5" t="s">
        <v>7</v>
      </c>
      <c r="D41" s="6" t="str">
        <f t="shared" si="10"/>
        <v>Re:</v>
      </c>
      <c r="E41" s="6" t="str">
        <f>HYPERLINK("https://drive.google.com/file/d/1-yKkmAJdWi3RiTcf33k2fIODPG_aXQ3G/view", "Re.pdf")</f>
        <v>Re.pdf</v>
      </c>
      <c r="F4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 s="5"/>
    </row>
    <row r="42" ht="15.75" customHeight="1">
      <c r="A42" s="4">
        <v>45936.5877515625</v>
      </c>
      <c r="B42" s="4">
        <v>45902.787997685184</v>
      </c>
      <c r="C42" s="5" t="s">
        <v>7</v>
      </c>
      <c r="D42" s="6" t="str">
        <f t="shared" si="10"/>
        <v>Re:</v>
      </c>
      <c r="E42" s="6" t="str">
        <f>HYPERLINK("https://drive.google.com/file/d/1kStDXcKGWj5rrut_wAZ9W0z76e5IFnV-/view", "Re.pdf")</f>
        <v>Re.pdf</v>
      </c>
      <c r="F4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 s="5"/>
    </row>
    <row r="43" ht="15.75" customHeight="1">
      <c r="A43" s="4">
        <v>45936.58772597222</v>
      </c>
      <c r="B43" s="4">
        <v>45902.58944444444</v>
      </c>
      <c r="C43" s="5" t="s">
        <v>7</v>
      </c>
      <c r="D43" s="6" t="str">
        <f t="shared" si="10"/>
        <v>Re:</v>
      </c>
      <c r="E43" s="6" t="str">
        <f>HYPERLINK("https://drive.google.com/file/d/1WUabVJnwXk-K0N6co1ai5mjXYfLCa9ga/view", "Re.pdf")</f>
        <v>Re.pdf</v>
      </c>
      <c r="F4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 s="5"/>
    </row>
    <row r="44" ht="15.75" customHeight="1">
      <c r="A44" s="4">
        <v>45936.58769747685</v>
      </c>
      <c r="B44" s="4">
        <v>45902.69248842592</v>
      </c>
      <c r="C44" s="5" t="s">
        <v>7</v>
      </c>
      <c r="D44" s="6" t="str">
        <f t="shared" si="10"/>
        <v>Re:</v>
      </c>
      <c r="E44" s="6" t="str">
        <f>HYPERLINK("https://drive.google.com/file/d/1lx4eybEkOxxY8k43-2s9xBr4VFJEjgE6/view", "Re.pdf")</f>
        <v>Re.pdf</v>
      </c>
      <c r="F4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 s="5"/>
    </row>
    <row r="45" ht="15.75" customHeight="1">
      <c r="A45" s="4">
        <v>45936.587654131945</v>
      </c>
      <c r="B45" s="4">
        <v>45902.70673611111</v>
      </c>
      <c r="C45" s="5" t="s">
        <v>7</v>
      </c>
      <c r="D45" s="6" t="str">
        <f t="shared" si="10"/>
        <v>Re:</v>
      </c>
      <c r="E45" s="6" t="str">
        <f>HYPERLINK("https://drive.google.com/file/d/1NiKDr184qxcI8fCPfuLOuGP_dJJBGKJc/view", "73051.jpg")</f>
        <v>73051.jpg</v>
      </c>
      <c r="F4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 s="5"/>
    </row>
    <row r="46" ht="15.75" customHeight="1">
      <c r="A46" s="4">
        <v>45936.587674571754</v>
      </c>
      <c r="B46" s="4">
        <v>45902.70673611111</v>
      </c>
      <c r="C46" s="5" t="s">
        <v>7</v>
      </c>
      <c r="D46" s="6" t="str">
        <f t="shared" si="10"/>
        <v>Re:</v>
      </c>
      <c r="E46" s="6" t="str">
        <f>HYPERLINK("https://drive.google.com/file/d/1mVbxmpZBsbaBB9ChUvcfPP1VLEAQAr00/view", "Re.pdf")</f>
        <v>Re.pdf</v>
      </c>
      <c r="F4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 s="5"/>
    </row>
    <row r="47" ht="15.75" customHeight="1">
      <c r="A47" s="4">
        <v>45936.587603657405</v>
      </c>
      <c r="B47" s="4">
        <v>45901.99943287037</v>
      </c>
      <c r="C47" s="5" t="s">
        <v>7</v>
      </c>
      <c r="D47" s="6" t="str">
        <f t="shared" ref="D47:D49" si="11">HYPERLINK("https://mail.google.com/mail?extsrc=sync&amp;client=docs&amp;plid=ACUX6DNhRqqqmE8iHA_NcLExzGLz4LZQPykLrQg", "Re: I Understand and Agree with you more")</f>
        <v>Re: I Understand and Agree with you more</v>
      </c>
      <c r="E47" s="6" t="str">
        <f>HYPERLINK("https://drive.google.com/file/d/1COLMHGnx4oI29BuFwVdJ_zoJt6oWxWqa/view", "Re I Understand and Agree with you more.pdf")</f>
        <v>Re I Understand and Agree with you more.pdf</v>
      </c>
      <c r="F4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 s="5"/>
    </row>
    <row r="48" ht="15.75" customHeight="1">
      <c r="A48" s="4">
        <v>45936.58758153935</v>
      </c>
      <c r="B48" s="4">
        <v>45902.278136574074</v>
      </c>
      <c r="C48" s="5" t="s">
        <v>7</v>
      </c>
      <c r="D48" s="6" t="str">
        <f t="shared" si="11"/>
        <v>Re: I Understand and Agree with you more</v>
      </c>
      <c r="E48" s="6" t="str">
        <f>HYPERLINK("https://drive.google.com/file/d/1EN8Px5rIOS07cYxhzBUDHo9ABW7m68mz/view", "Re I Understand and Agree with you more.pdf")</f>
        <v>Re I Understand and Agree with you more.pdf</v>
      </c>
      <c r="F4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 s="5"/>
    </row>
    <row r="49" ht="15.75" customHeight="1">
      <c r="A49" s="4">
        <v>45936.587555335645</v>
      </c>
      <c r="B49" s="4">
        <v>45901.976736111115</v>
      </c>
      <c r="C49" s="5" t="s">
        <v>7</v>
      </c>
      <c r="D49" s="6" t="str">
        <f t="shared" si="11"/>
        <v>Re: I Understand and Agree with you more</v>
      </c>
      <c r="E49" s="6" t="str">
        <f>HYPERLINK("https://drive.google.com/file/d/1pKmgN5hckfCUzwxegniVetQqE95YFs3A/view", "Re I Understand and Agree with you more.pdf")</f>
        <v>Re I Understand and Agree with you more.pdf</v>
      </c>
      <c r="F4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 s="5"/>
    </row>
    <row r="50" ht="15.75" customHeight="1">
      <c r="A50" s="4">
        <v>45936.587533831014</v>
      </c>
      <c r="B50" s="4">
        <v>45901.847407407404</v>
      </c>
      <c r="C50" s="5" t="s">
        <v>7</v>
      </c>
      <c r="D50" s="6" t="str">
        <f>HYPERLINK("https://mail.google.com/mail?extsrc=sync&amp;client=docs&amp;plid=ACUX6DPdImbwyucCvmxUSGSSIuqpyjIJiIkH-mo", "Hi, how are you?")</f>
        <v>Hi, how are you?</v>
      </c>
      <c r="E50" s="6" t="str">
        <f>HYPERLINK("https://drive.google.com/file/d/1RfuFpleskObxutqmiQPaK70AY3WCUiEq/view", "Hi, how are you.pdf")</f>
        <v>Hi, how are you.pdf</v>
      </c>
      <c r="F5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0" s="5"/>
    </row>
    <row r="51" ht="15.75" customHeight="1">
      <c r="A51" s="4">
        <v>45936.58750873843</v>
      </c>
      <c r="B51" s="4">
        <v>45900.79324074074</v>
      </c>
      <c r="C51" s="5" t="s">
        <v>7</v>
      </c>
      <c r="D51" s="6" t="str">
        <f t="shared" ref="D51:D52" si="12">HYPERLINK("https://mail.google.com/mail?extsrc=sync&amp;client=docs&amp;plid=ACUX6DMGuk88Fd0mP2M_cPHUEz-n5XfsOP4QUPM", "Re: Recovery Compass Story")</f>
        <v>Re: Recovery Compass Story</v>
      </c>
      <c r="E51" s="6" t="str">
        <f>HYPERLINK("https://drive.google.com/file/d/1ItBa7QnTH-oajmADUaB_9WtQvIuQ9NSt/view", "Re Recovery Compass Story.pdf")</f>
        <v>Re Recovery Compass Story.pdf</v>
      </c>
      <c r="F5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1" s="5"/>
    </row>
    <row r="52" ht="15.75" customHeight="1">
      <c r="A52" s="4">
        <v>45936.587474224536</v>
      </c>
      <c r="B52" s="4">
        <v>45900.810428240744</v>
      </c>
      <c r="C52" s="5" t="s">
        <v>7</v>
      </c>
      <c r="D52" s="6" t="str">
        <f t="shared" si="12"/>
        <v>Re: Recovery Compass Story</v>
      </c>
      <c r="E52" s="6" t="str">
        <f>HYPERLINK("https://drive.google.com/file/d/1Flg1Vl5RC53ojMvj6E_518IQrcupl4xP/view", "Re Recovery Compass Story.pdf")</f>
        <v>Re Recovery Compass Story.pdf</v>
      </c>
      <c r="F5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2" s="5"/>
    </row>
    <row r="53" ht="15.75" customHeight="1">
      <c r="A53" s="4">
        <v>45936.58741659722</v>
      </c>
      <c r="B53" s="4">
        <v>45900.77020833333</v>
      </c>
      <c r="C53" s="5" t="s">
        <v>7</v>
      </c>
      <c r="D53" s="6" t="str">
        <f t="shared" ref="D53:D55" si="13">HYPERLINK("https://mail.google.com/mail?extsrc=sync&amp;client=docs&amp;plid=ACUX6DP5PCgcGEsfqoPokaYX09u_QzaXMmtO120", "Re:")</f>
        <v>Re:</v>
      </c>
      <c r="E53" s="6" t="str">
        <f>HYPERLINK("https://drive.google.com/file/d/1sh6A2m3ssPunmJkBn9jvv_BbMqmeDduf/view", "Re.pdf")</f>
        <v>Re.pdf</v>
      </c>
      <c r="F5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3" s="5"/>
    </row>
    <row r="54" ht="15.75" customHeight="1">
      <c r="A54" s="4">
        <v>45936.58736587963</v>
      </c>
      <c r="B54" s="4">
        <v>45900.74724537037</v>
      </c>
      <c r="C54" s="5" t="s">
        <v>7</v>
      </c>
      <c r="D54" s="6" t="str">
        <f t="shared" si="13"/>
        <v>Re:</v>
      </c>
      <c r="E54" s="6" t="str">
        <f>HYPERLINK("https://drive.google.com/file/d/1ufnyWulLrJSd72fYUBxA2mUZCUKwhhEz/view", "IMG_4759.jpeg")</f>
        <v>IMG_4759.jpeg</v>
      </c>
      <c r="F5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4" s="5"/>
    </row>
    <row r="55" ht="15.75" customHeight="1">
      <c r="A55" s="4">
        <v>45936.587389733795</v>
      </c>
      <c r="B55" s="4">
        <v>45900.74724537037</v>
      </c>
      <c r="C55" s="5" t="s">
        <v>7</v>
      </c>
      <c r="D55" s="6" t="str">
        <f t="shared" si="13"/>
        <v>Re:</v>
      </c>
      <c r="E55" s="6" t="str">
        <f>HYPERLINK("https://drive.google.com/file/d/1lJ57RhTYwTDh03rNt7_gILpmuM0EYBtL/view", "Re.pdf")</f>
        <v>Re.pdf</v>
      </c>
      <c r="F5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5" s="5"/>
    </row>
    <row r="56" ht="15.75" customHeight="1">
      <c r="A56" s="4">
        <v>45936.587329166665</v>
      </c>
      <c r="B56" s="4">
        <v>45902.950578703705</v>
      </c>
      <c r="C56" s="5" t="s">
        <v>7</v>
      </c>
      <c r="D56" s="6" t="str">
        <f t="shared" ref="D56:D58" si="14">HYPERLINK("https://mail.google.com/mail?extsrc=sync&amp;client=docs&amp;plid=ACUX6DO-M8puZq58HD1zsYZsY2bPMxeJxPCY2A8", "Re: Baba, OK so I screenshot that message to me from you")</f>
        <v>Re: Baba, OK so I screenshot that message to me from you</v>
      </c>
      <c r="E56" s="6" t="str">
        <f>HYPERLINK("https://drive.google.com/file/d/1DfFOrQ564_TUT7z1ESJ3qnw8Cn8LP-04/view", "Re Baba, OK so I screenshot that message to me from you.pdf")</f>
        <v>Re Baba, OK so I screenshot that message to me from you.pdf</v>
      </c>
      <c r="F5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6" s="5"/>
    </row>
    <row r="57" ht="15.75" customHeight="1">
      <c r="A57" s="4">
        <v>45936.58730289352</v>
      </c>
      <c r="B57" s="4">
        <v>45903.0303125</v>
      </c>
      <c r="C57" s="5" t="s">
        <v>7</v>
      </c>
      <c r="D57" s="6" t="str">
        <f t="shared" si="14"/>
        <v>Re: Baba, OK so I screenshot that message to me from you</v>
      </c>
      <c r="E57" s="6" t="str">
        <f>HYPERLINK("https://drive.google.com/file/d/1T8MhtV3Oy8JXvXl1XR3HqX8uOP5R7Rbg/view", "Re Baba, OK so I screenshot that message to me from you.pdf")</f>
        <v>Re Baba, OK so I screenshot that message to me from you.pdf</v>
      </c>
      <c r="F5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7" s="5"/>
    </row>
    <row r="58" ht="15.75" customHeight="1">
      <c r="A58" s="4">
        <v>45936.587281388885</v>
      </c>
      <c r="B58" s="4">
        <v>45902.94976851852</v>
      </c>
      <c r="C58" s="5" t="s">
        <v>7</v>
      </c>
      <c r="D58" s="6" t="str">
        <f t="shared" si="14"/>
        <v>Re: Baba, OK so I screenshot that message to me from you</v>
      </c>
      <c r="E58" s="6" t="str">
        <f>HYPERLINK("https://drive.google.com/file/d/1fHym_vU0JgUOJ1brrYDykNh-6_SsyCJ7/view", "Re Baba, OK so I screenshot that message to me from you.pdf")</f>
        <v>Re Baba, OK so I screenshot that message to me from you.pdf</v>
      </c>
      <c r="F5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8" s="5"/>
    </row>
    <row r="59" ht="15.75" customHeight="1">
      <c r="A59" s="4">
        <v>45936.58707971065</v>
      </c>
      <c r="B59" s="4">
        <v>45907.82935185185</v>
      </c>
      <c r="C59" s="5" t="s">
        <v>7</v>
      </c>
      <c r="D59" s="6" t="str">
        <f>HYPERLINK("https://mail.google.com/mail?extsrc=sync&amp;client=docs&amp;plid=ACUX6DPmA9wAnsL5WCj_PESNtwZgtm8bR8U-b5U", "I’m good")</f>
        <v>I’m good</v>
      </c>
      <c r="E59" s="6" t="str">
        <f>HYPERLINK("https://drive.google.com/file/d/19amceaZ3xcLHhjjHf4jISFKccXJ_xuER/view", "I’m good.pdf")</f>
        <v>I’m good.pdf</v>
      </c>
      <c r="F5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9" s="5"/>
    </row>
    <row r="60" ht="15.75" customHeight="1">
      <c r="A60" s="4">
        <v>45936.587033414355</v>
      </c>
      <c r="B60" s="4">
        <v>45908.88726851852</v>
      </c>
      <c r="C60" s="5" t="s">
        <v>7</v>
      </c>
      <c r="D60" s="6" t="str">
        <f>HYPERLINK("https://mail.google.com/mail?extsrc=sync&amp;client=docs&amp;plid=ACUX6DMuYsHZmEh86iHKl0cQhnqe6vZIpu-kavI", "This voicemail was for you. I’m just hearing it now. I gotta check my voicemails voicemail-21957420352 #1/2")</f>
        <v>This voicemail was for you. I’m just hearing it now. I gotta check my voicemails voicemail-21957420352 #1/2</v>
      </c>
      <c r="E60" s="6" t="str">
        <f>HYPERLINK("https://drive.google.com/file/d/1FJJkKl6WervkUKbhGNHW-JUzFAn2Q-TE/view", "voicemail-21957420352.m4a")</f>
        <v>voicemail-21957420352.m4a</v>
      </c>
      <c r="F6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0" s="5"/>
    </row>
    <row r="61" ht="15.75" customHeight="1">
      <c r="A61" s="4">
        <v>45936.587034641205</v>
      </c>
      <c r="B61" s="4">
        <v>45908.88726851852</v>
      </c>
      <c r="C61" s="5" t="s">
        <v>7</v>
      </c>
      <c r="D61" s="6" t="str">
        <f>HYPERLINK("https://mail.google.com/mail?extsrc=sync&amp;client=docs&amp;plid=ACUX6DMuYsHZmEh86iHKl0cQhnqe6vZIpu-kavI", "This voicemail was for you. I’m just hearing it now. I gotta check my voicemails voicemail-21957420352 #2/2")</f>
        <v>This voicemail was for you. I’m just hearing it now. I gotta check my voicemails voicemail-21957420352 #2/2</v>
      </c>
      <c r="E61" s="6" t="str">
        <f>HYPERLINK("https://drive.google.com/file/d/1NY3XzCPVgdQSM2LCPfDixNcW2xD0XULO/view", "voicemail-21957420352.txt")</f>
        <v>voicemail-21957420352.txt</v>
      </c>
      <c r="F6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1" s="5"/>
    </row>
    <row r="62" ht="15.75" customHeight="1">
      <c r="A62" s="4">
        <v>45936.587053738425</v>
      </c>
      <c r="B62" s="4">
        <v>45908.88726851852</v>
      </c>
      <c r="C62" s="5" t="s">
        <v>7</v>
      </c>
      <c r="D62" s="6" t="str">
        <f>HYPERLINK("https://mail.google.com/mail?extsrc=sync&amp;client=docs&amp;plid=ACUX6DMuYsHZmEh86iHKl0cQhnqe6vZIpu-kavI", "This voicemail was for you. I’m just hearing it now. I gotta check my voicemails voicemail-21957420352")</f>
        <v>This voicemail was for you. I’m just hearing it now. I gotta check my voicemails voicemail-21957420352</v>
      </c>
      <c r="E62" s="6" t="str">
        <f>HYPERLINK("https://drive.google.com/file/d/13Xm8JF-m5F1EvOj1uL-OFXUpEPBpJuU4/view", "This voicemail was for you. I’m just hearing it now. I gotta check my voicemails voicemail-21957420352.pdf")</f>
        <v>This voicemail was for you. I’m just hearing it now. I gotta check my voicemails voicemail-21957420352.pdf</v>
      </c>
      <c r="F6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2" s="5"/>
    </row>
    <row r="63" ht="15.75" customHeight="1">
      <c r="A63" s="4">
        <v>45936.58691347222</v>
      </c>
      <c r="B63" s="4">
        <v>45911.75577546297</v>
      </c>
      <c r="C63" s="5" t="s">
        <v>7</v>
      </c>
      <c r="D63" s="6" t="str">
        <f t="shared" ref="D63:D64" si="15">HYPERLINK("https://mail.google.com/mail?extsrc=sync&amp;client=docs&amp;plid=ACUX6DOBdwm0qWR1RfYhGI3uotQ4MPw8RsfMB1c", "THIS IS IT ACTUALLY, he said this was the house we signed up for")</f>
        <v>THIS IS IT ACTUALLY, he said this was the house we signed up for</v>
      </c>
      <c r="E63" s="6" t="str">
        <f>HYPERLINK("https://drive.google.com/file/d/1TdX09nmWINDQwcwy0aM-MTRJgzdlDRHY/view", "76924.jpg")</f>
        <v>76924.jpg</v>
      </c>
      <c r="F6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3" s="5"/>
    </row>
    <row r="64" ht="15.75" customHeight="1">
      <c r="A64" s="4">
        <v>45936.58693935185</v>
      </c>
      <c r="B64" s="4">
        <v>45911.75577546297</v>
      </c>
      <c r="C64" s="5" t="s">
        <v>7</v>
      </c>
      <c r="D64" s="6" t="str">
        <f t="shared" si="15"/>
        <v>THIS IS IT ACTUALLY, he said this was the house we signed up for</v>
      </c>
      <c r="E64" s="6" t="str">
        <f>HYPERLINK("https://drive.google.com/file/d/1awVW2z52rs9tMLBvZBVEIyGPgOFQDvqK/view", "THIS IS IT ACTUALLY, he said this was the house we signed up for.pdf")</f>
        <v>THIS IS IT ACTUALLY, he said this was the house we signed up for.pdf</v>
      </c>
      <c r="F6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4" s="5"/>
    </row>
    <row r="65" ht="15.75" customHeight="1">
      <c r="A65" s="4">
        <v>45936.5868627662</v>
      </c>
      <c r="B65" s="4">
        <v>45908.88290509259</v>
      </c>
      <c r="C65" s="5" t="s">
        <v>7</v>
      </c>
      <c r="D65" s="6" t="str">
        <f>HYPERLINK("https://mail.google.com/mail?extsrc=sync&amp;client=docs&amp;plid=ACUX6DM_Ma7xTQVAcganD1wsSJXskdelpy4JlZc", "voicemail-22005087136 #1/2")</f>
        <v>voicemail-22005087136 #1/2</v>
      </c>
      <c r="E65" s="6" t="str">
        <f>HYPERLINK("https://drive.google.com/file/d/1HyAiUshO9FQYTUfwUT0GfT-vQeVxSgTK/view", "voicemail-22005087136.m4a")</f>
        <v>voicemail-22005087136.m4a</v>
      </c>
      <c r="F6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5" s="5"/>
    </row>
    <row r="66" ht="15.75" customHeight="1">
      <c r="A66" s="4">
        <v>45936.58686351852</v>
      </c>
      <c r="B66" s="4">
        <v>45908.88290509259</v>
      </c>
      <c r="C66" s="5" t="s">
        <v>7</v>
      </c>
      <c r="D66" s="6" t="str">
        <f>HYPERLINK("https://mail.google.com/mail?extsrc=sync&amp;client=docs&amp;plid=ACUX6DM_Ma7xTQVAcganD1wsSJXskdelpy4JlZc", "voicemail-22005087136 #2/2")</f>
        <v>voicemail-22005087136 #2/2</v>
      </c>
      <c r="E66" s="6" t="str">
        <f>HYPERLINK("https://drive.google.com/file/d/1ClC6UCU_raUP928fYn8bM03i_G2AO7A3/view", "voicemail-22005087136.txt")</f>
        <v>voicemail-22005087136.txt</v>
      </c>
      <c r="F6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6" s="5"/>
    </row>
    <row r="67" ht="15.75" customHeight="1">
      <c r="A67" s="4">
        <v>45936.58688657408</v>
      </c>
      <c r="B67" s="4">
        <v>45908.88290509259</v>
      </c>
      <c r="C67" s="5" t="s">
        <v>7</v>
      </c>
      <c r="D67" s="6" t="str">
        <f>HYPERLINK("https://mail.google.com/mail?extsrc=sync&amp;client=docs&amp;plid=ACUX6DM_Ma7xTQVAcganD1wsSJXskdelpy4JlZc", "voicemail-22005087136")</f>
        <v>voicemail-22005087136</v>
      </c>
      <c r="E67" s="6" t="str">
        <f>HYPERLINK("https://drive.google.com/file/d/1mDC7UgmPVSU11YN-eDlJxfsBzhhxMBGT/view", "voicemail-22005087136.pdf")</f>
        <v>voicemail-22005087136.pdf</v>
      </c>
      <c r="F6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7" s="5"/>
    </row>
    <row r="68" ht="15.75" customHeight="1">
      <c r="A68" s="4">
        <v>45936.586782314815</v>
      </c>
      <c r="B68" s="4">
        <v>45910.846666666665</v>
      </c>
      <c r="C68" s="5" t="s">
        <v>7</v>
      </c>
      <c r="D68" s="6" t="str">
        <f>HYPERLINK("https://mail.google.com/mail?extsrc=sync&amp;client=docs&amp;plid=ACUX6DMWizm9Ehue-BU5nVkpE-aVuKn7oIURn0I", "Re: Linda")</f>
        <v>Re: Linda</v>
      </c>
      <c r="E68" s="6" t="str">
        <f>HYPERLINK("https://drive.google.com/file/d/1tIZQVaI1hwH2ZVol-c_J2XSTPxA2RuJj/view", "Re Linda.pdf")</f>
        <v>Re Linda.pdf</v>
      </c>
      <c r="F6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8" s="5"/>
    </row>
    <row r="69" ht="15.75" customHeight="1">
      <c r="A69" s="4">
        <v>45936.58671181713</v>
      </c>
      <c r="B69" s="4">
        <v>45908.980578703704</v>
      </c>
      <c r="C69" s="5" t="s">
        <v>7</v>
      </c>
      <c r="D69" s="6" t="str">
        <f t="shared" ref="D69:D70" si="16">HYPERLINK("https://mail.google.com/mail?extsrc=sync&amp;client=docs&amp;plid=ACUX6DOJEPh9pnhDN6NgmU7zlsy5inNYnZ_wlLM", "")</f>
        <v/>
      </c>
      <c r="E69" s="6" t="str">
        <f>HYPERLINK("https://drive.google.com/file/d/1R8NVEhOCtZckVPZGlQKyu6cEjtdYBMeE/view", "31604.jpg")</f>
        <v>31604.jpg</v>
      </c>
      <c r="F6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69" s="5"/>
    </row>
    <row r="70" ht="15.75" customHeight="1">
      <c r="A70" s="4">
        <v>45936.5867562037</v>
      </c>
      <c r="B70" s="4">
        <v>45908.980578703704</v>
      </c>
      <c r="C70" s="5" t="s">
        <v>7</v>
      </c>
      <c r="D70" s="6" t="str">
        <f t="shared" si="16"/>
        <v/>
      </c>
      <c r="E70" s="6" t="str">
        <f>HYPERLINK("https://drive.google.com/file/d/15NTbt6oROdh_nOOHVH9rTbE3JBwShp__/view", "1759784694036.pdf")</f>
        <v>1759784694036.pdf</v>
      </c>
      <c r="F7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0" s="5"/>
    </row>
    <row r="71" ht="15.75" customHeight="1">
      <c r="A71" s="4">
        <v>45936.586681678236</v>
      </c>
      <c r="B71" s="4">
        <v>45906.56074074074</v>
      </c>
      <c r="C71" s="5" t="s">
        <v>7</v>
      </c>
      <c r="D71" s="6" t="str">
        <f>HYPERLINK("https://mail.google.com/mail?extsrc=sync&amp;client=docs&amp;plid=ACUX6DPksO-O-FB7Ps03Bt5xcv8jMJbE_5aN0ww", "Re: Nuha Sayegh shared Family Conflict and Legal Notice in Otter")</f>
        <v>Re: Nuha Sayegh shared Family Conflict and Legal Notice in Otter</v>
      </c>
      <c r="E71" s="6" t="str">
        <f>HYPERLINK("https://drive.google.com/file/d/1TVadg4HQ68HAINSMrEx5_iol3NhYsMoB/view", "Re Nuha Sayegh shared Family Conflict and Legal Notice in Otter.pdf")</f>
        <v>Re Nuha Sayegh shared Family Conflict and Legal Notice in Otter.pdf</v>
      </c>
      <c r="F7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1" s="5"/>
    </row>
    <row r="72" ht="15.75" customHeight="1">
      <c r="A72" s="4">
        <v>45936.58665185185</v>
      </c>
      <c r="B72" s="4">
        <v>45910.7672337963</v>
      </c>
      <c r="C72" s="5" t="s">
        <v>8</v>
      </c>
      <c r="D72" s="6" t="str">
        <f>HYPERLINK("https://mail.google.com/mail?extsrc=sync&amp;client=docs&amp;plid=ACUX6DNyT2T8seuEadIcSTI1WQUySjON9rP5vUI", "Fwd: Dear Ms. Policky,")</f>
        <v>Fwd: Dear Ms. Policky,</v>
      </c>
      <c r="E72" s="6" t="str">
        <f>HYPERLINK("https://drive.google.com/file/d/1M7_sKXkSQqBlMI45WHN6Q906I_gpyY1j/view", "Fwd Dear Ms. Policky,.pdf")</f>
        <v>Fwd Dear Ms. Policky,.pdf</v>
      </c>
      <c r="F7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2" s="5"/>
    </row>
    <row r="73" ht="15.75" customHeight="1">
      <c r="A73" s="4">
        <v>45936.58660052084</v>
      </c>
      <c r="B73" s="4">
        <v>45912.54077546296</v>
      </c>
      <c r="C73" s="5" t="s">
        <v>7</v>
      </c>
      <c r="D73" s="6" t="str">
        <f t="shared" ref="D73:D74" si="17">HYPERLINK("https://mail.google.com/mail?extsrc=sync&amp;client=docs&amp;plid=ACUX6DNXBycm05iPxcQFPHYnc7qy6SOnjMLrYeI", "He just texted Mia this now")</f>
        <v>He just texted Mia this now</v>
      </c>
      <c r="E73" s="6" t="str">
        <f>HYPERLINK("https://drive.google.com/file/d/1qFjj8bydu8yKgr4Hap1PnEyTlP2c_1n-/view", "IMG_5367.PNG")</f>
        <v>IMG_5367.PNG</v>
      </c>
      <c r="F7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3" s="5"/>
    </row>
    <row r="74" ht="15.75" customHeight="1">
      <c r="A74" s="4">
        <v>45936.586624930555</v>
      </c>
      <c r="B74" s="4">
        <v>45912.54077546296</v>
      </c>
      <c r="C74" s="5" t="s">
        <v>7</v>
      </c>
      <c r="D74" s="6" t="str">
        <f t="shared" si="17"/>
        <v>He just texted Mia this now</v>
      </c>
      <c r="E74" s="6" t="str">
        <f>HYPERLINK("https://drive.google.com/file/d/1DYejagQMSHS7WAd2EUHlP1b0zaRx-3yQ/view", "He just texted Mia this now.pdf")</f>
        <v>He just texted Mia this now.pdf</v>
      </c>
      <c r="F7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4" s="5"/>
    </row>
    <row r="75" ht="15.75" customHeight="1">
      <c r="A75" s="4">
        <v>45936.58652864583</v>
      </c>
      <c r="B75" s="4">
        <v>45909.66427083334</v>
      </c>
      <c r="C75" s="5" t="s">
        <v>7</v>
      </c>
      <c r="D75" s="6" t="str">
        <f t="shared" ref="D75:D76" si="18">HYPERLINK("https://mail.google.com/mail?extsrc=sync&amp;client=docs&amp;plid=ACUX6DP49xSHA5AF7mBSZIHLjgP9USpe2mqHjJc", "Kindergarten teacher")</f>
        <v>Kindergarten teacher</v>
      </c>
      <c r="E75" s="6" t="str">
        <f>HYPERLINK("https://drive.google.com/file/d/1JUcFn3qxhH-Y4KxO6AQWLEAyUA4odQQq/view", "86002.jpg")</f>
        <v>86002.jpg</v>
      </c>
      <c r="F7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5" s="5"/>
    </row>
    <row r="76" ht="15.75" customHeight="1">
      <c r="A76" s="4">
        <v>45936.586570162035</v>
      </c>
      <c r="B76" s="4">
        <v>45909.66427083334</v>
      </c>
      <c r="C76" s="5" t="s">
        <v>7</v>
      </c>
      <c r="D76" s="6" t="str">
        <f t="shared" si="18"/>
        <v>Kindergarten teacher</v>
      </c>
      <c r="E76" s="6" t="str">
        <f>HYPERLINK("https://drive.google.com/file/d/1m5tECgsCSktg_Op5E4g4Sq8MXL0XKf8I/view", "Kindergarten teacher.pdf")</f>
        <v>Kindergarten teacher.pdf</v>
      </c>
      <c r="F7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6" s="5"/>
    </row>
    <row r="77" ht="15.75" customHeight="1">
      <c r="A77" s="4">
        <v>45936.58649824074</v>
      </c>
      <c r="B77" s="4">
        <v>45909.83196759259</v>
      </c>
      <c r="C77" s="5" t="s">
        <v>7</v>
      </c>
      <c r="D77" s="6" t="str">
        <f>HYPERLINK("https://mail.google.com/mail?extsrc=sync&amp;client=docs&amp;plid=ACUX6DNSDw3zo18yphlR9rJpoW2ztsJEPOsCZXQ", "Julien Cohen on Instagram: 'The most INSANE Bohemian Rhapsody flashmob you will ever see!! With 30 musicians and singers in the streets of Paris 😍 Make sure to follow my account to see PART 2 in a few days! Lead singer: @mickeycallisto Lead guitar: @guit"&amp;"arolly8 First 3 singers: @ddkn.off Pop choir: @ddkn.off @sone_sings and @colinesicre Counter-tenor solo: @michaelkonesaki Second guitar: @axelthomas369 Bass guitar: @pasmaniandevil Drums: @martinpennec Opera choir: @eeva.matilda @chevalierdesatvrn @c.lui."&amp;"michel @dounia.el_baaj @emmanuelle_jakubek @lisa.chaib.auriol @rizzello29 @louthomasmezzo @celestelajeune @pariton_chuck @nicolaethetenor @olgavojnovic @sarapaonemezzo @shadi.xoxo_ @msyatparis @tirsothevoice @david.lefort75020 @romain_et_brunhilde Video e"&amp;"diting: @manondess_ Sound mixing: @t_jnvc Music coordination: @eeva.matilda'")</f>
        <v>Julien Cohen on Instagram: 'The most INSANE Bohemian Rhapsody flashmob you will ever see!! With 30 musicians and singers in the streets of Paris 😍 Make sure to follow my account to see PART 2 in a few days! Lead singer: @mickeycallisto Lead guitar: @guitarolly8 First 3 singers: @ddkn.off Pop choir: @ddkn.off @sone_sings and @colinesicre Counter-tenor solo: @michaelkonesaki Second guitar: @axelthomas369 Bass guitar: @pasmaniandevil Drums: @martinpennec Opera choir: @eeva.matilda @chevalierdesatvrn @c.lui.michel @dounia.el_baaj @emmanuelle_jakubek @lisa.chaib.auriol @rizzello29 @louthomasmezzo @celestelajeune @pariton_chuck @nicolaethetenor @olgavojnovic @sarapaonemezzo @shadi.xoxo_ @msyatparis @tirsothevoice @david.lefort75020 @romain_et_brunhilde Video editing: @manondess_ Sound mixing: @t_jnvc Music coordination: @eeva.matilda'</v>
      </c>
      <c r="E77" s="6" t="str">
        <f>HYPERLINK("https://drive.google.com/file/d/11CgOm8wkaW3DrymYJVgxKmjz2w1FXTZH/view", "Julien Cohen on Instagram The most INSANE Bohemian Rhapsody flashmob you will ever see!! With 30 musicians and singers in the streets of Paris 😍 Make sure to follow my account to see PART 2 in a few days! Lead singer @mickeycallisto Lead guitar @guitarol"&amp;"ly8 First 3 singers @ddkn.off Pop choir @ddkn.off @sone_sings and @colinesicre Counter-tenor solo @michaelkonesaki Second guitar @axelthomas369 Bass guitar @pasmaniandevil Drums @martinpennec Opera choir @eeva.matilda @chevalierdesatvrn @c.lui.michel @dou"&amp;"nia.el_baaj @emmanuelle_jakubek @lisa.chaib.auriol @rizzello29 @louthomasmezzo @celestelajeune @pariton_chuck @nicolaethetenor @olgavojnovic @sarapaonemezzo @shadi.xoxo_ @msyatparis @tirsothevoice @david.lefort75020 @romain_et_brunhilde Video editing @man"&amp;"ondess_ Sound mixing @t_jnvc Music coordination @eeva.matilda.pdf")</f>
        <v>Julien Cohen on Instagram The most INSANE Bohemian Rhapsody flashmob you will ever see!! With 30 musicians and singers in the streets of Paris 😍 Make sure to follow my account to see PART 2 in a few days! Lead singer @mickeycallisto Lead guitar @guitarolly8 First 3 singers @ddkn.off Pop choir @ddkn.off @sone_sings and @colinesicre Counter-tenor solo @michaelkonesaki Second guitar @axelthomas369 Bass guitar @pasmaniandevil Drums @martinpennec Opera choir @eeva.matilda @chevalierdesatvrn @c.lui.michel @dounia.el_baaj @emmanuelle_jakubek @lisa.chaib.auriol @rizzello29 @louthomasmezzo @celestelajeune @pariton_chuck @nicolaethetenor @olgavojnovic @sarapaonemezzo @shadi.xoxo_ @msyatparis @tirsothevoice @david.lefort75020 @romain_et_brunhilde Video editing @manondess_ Sound mixing @t_jnvc Music coordination @eeva.matilda.pdf</v>
      </c>
      <c r="F7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7" s="5"/>
    </row>
    <row r="78" ht="15.75" customHeight="1">
      <c r="A78" s="4">
        <v>45936.58644267361</v>
      </c>
      <c r="B78" s="4">
        <v>45909.728009259255</v>
      </c>
      <c r="C78" s="5" t="s">
        <v>7</v>
      </c>
      <c r="D78" s="6" t="str">
        <f t="shared" ref="D78:D79" si="19">HYPERLINK("https://mail.google.com/mail?extsrc=sync&amp;client=docs&amp;plid=ACUX6DNUn5z3ov2B3V2gMwiebA_H0TTSX3JmuJA", "Barney")</f>
        <v>Barney</v>
      </c>
      <c r="E78" s="6" t="str">
        <f>HYPERLINK("https://drive.google.com/file/d/1yf4yLr-9phbvMkUgbvrgyCyhblyaU9Z3/view", "IMG_0209.jpeg")</f>
        <v>IMG_0209.jpeg</v>
      </c>
      <c r="F7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8" s="5"/>
    </row>
    <row r="79" ht="15.75" customHeight="1">
      <c r="A79" s="4">
        <v>45936.586466875</v>
      </c>
      <c r="B79" s="4">
        <v>45909.728009259255</v>
      </c>
      <c r="C79" s="5" t="s">
        <v>7</v>
      </c>
      <c r="D79" s="6" t="str">
        <f t="shared" si="19"/>
        <v>Barney</v>
      </c>
      <c r="E79" s="6" t="str">
        <f>HYPERLINK("https://drive.google.com/file/d/1MeF5mFIbUCmEoIPELKjltWqmOJvuSIgo/view", "Barney.pdf")</f>
        <v>Barney.pdf</v>
      </c>
      <c r="F7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79" s="5"/>
    </row>
    <row r="80" ht="15.75" customHeight="1">
      <c r="A80" s="4">
        <v>45936.58641069444</v>
      </c>
      <c r="B80" s="4">
        <v>45911.65173611111</v>
      </c>
      <c r="C80" s="5" t="s">
        <v>7</v>
      </c>
      <c r="D80" s="6" t="str">
        <f>HYPERLINK("https://mail.google.com/mail?extsrc=sync&amp;client=docs&amp;plid=ACUX6DN-05c8-auxK6rj3CT_EEFs3fBBNH6ogmc", "")</f>
        <v/>
      </c>
      <c r="E80" s="6" t="str">
        <f>HYPERLINK("https://drive.google.com/file/d/1666qz9bFtEGNTowYtDjQk51UKKoLej9s/view", "1759784664409.pdf")</f>
        <v>1759784664409.pdf</v>
      </c>
      <c r="F8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0" s="5"/>
    </row>
    <row r="81" ht="15.75" customHeight="1">
      <c r="A81" s="4">
        <v>45936.58638508102</v>
      </c>
      <c r="B81" s="4">
        <v>45906.69075231481</v>
      </c>
      <c r="C81" s="5" t="s">
        <v>7</v>
      </c>
      <c r="D81" s="6" t="str">
        <f>HYPERLINK("https://mail.google.com/mail?extsrc=sync&amp;client=docs&amp;plid=ACUX6DM-RictoOm32pk-GsiKaNMSZk7avGXh2D4", "its not allowing me to send")</f>
        <v>its not allowing me to send</v>
      </c>
      <c r="E81" s="6" t="str">
        <f>HYPERLINK("https://drive.google.com/file/d/1Md5Zr4QE39AOr1EOU4RyqZgszv4jIlkD/view", "its not allowing me to send.pdf")</f>
        <v>its not allowing me to send.pdf</v>
      </c>
      <c r="F8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1" s="5"/>
    </row>
    <row r="82" ht="15.75" customHeight="1">
      <c r="A82" s="4">
        <v>45936.58635262732</v>
      </c>
      <c r="B82" s="4">
        <v>45906.31770833333</v>
      </c>
      <c r="C82" s="5" t="s">
        <v>7</v>
      </c>
      <c r="D82" s="6" t="str">
        <f t="shared" ref="D82:D84" si="20">HYPERLINK("https://mail.google.com/mail?extsrc=sync&amp;client=docs&amp;plid=ACUX6DP_kAL7GloKrPsyveyy9kVvq35nRZVXgac", "Re: Tell me what to do please. I’m not doing anything until you tell me.")</f>
        <v>Re: Tell me what to do please. I’m not doing anything until you tell me.</v>
      </c>
      <c r="E82" s="6" t="str">
        <f>HYPERLINK("https://drive.google.com/file/d/1fOZAIXmnDrC2jt7T0KoisXUc2h3l1VKB/view", "Re Tell me what to do please. I’m not doing anything until you tell me..pdf")</f>
        <v>Re Tell me what to do please. I’m not doing anything until you tell me..pdf</v>
      </c>
      <c r="F8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2" s="5"/>
    </row>
    <row r="83" ht="15.75" customHeight="1">
      <c r="A83" s="4">
        <v>45936.586298124996</v>
      </c>
      <c r="B83" s="4">
        <v>45906.3250925926</v>
      </c>
      <c r="C83" s="5" t="s">
        <v>7</v>
      </c>
      <c r="D83" s="6" t="str">
        <f t="shared" si="20"/>
        <v>Re: Tell me what to do please. I’m not doing anything until you tell me.</v>
      </c>
      <c r="E83" s="6" t="str">
        <f>HYPERLINK("https://drive.google.com/file/d/14tXbfQyqvGrZcWNRvawcIO9_lj3EvH7A/view", "11214.jpg")</f>
        <v>11214.jpg</v>
      </c>
      <c r="F8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3" s="5"/>
    </row>
    <row r="84" ht="15.75" customHeight="1">
      <c r="A84" s="4">
        <v>45936.58632556713</v>
      </c>
      <c r="B84" s="4">
        <v>45906.3250925926</v>
      </c>
      <c r="C84" s="5" t="s">
        <v>7</v>
      </c>
      <c r="D84" s="6" t="str">
        <f t="shared" si="20"/>
        <v>Re: Tell me what to do please. I’m not doing anything until you tell me.</v>
      </c>
      <c r="E84" s="6" t="str">
        <f>HYPERLINK("https://drive.google.com/file/d/1bsRLo0IWe6vYs1A44SS50PJfcmV0spYB/view", "Re Tell me what to do please. I’m not doing anything until you tell me..pdf")</f>
        <v>Re Tell me what to do please. I’m not doing anything until you tell me..pdf</v>
      </c>
      <c r="F8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4" s="5"/>
    </row>
    <row r="85" ht="15.75" customHeight="1">
      <c r="A85" s="4">
        <v>45936.586268750005</v>
      </c>
      <c r="B85" s="4">
        <v>45910.62887731481</v>
      </c>
      <c r="C85" s="5" t="s">
        <v>7</v>
      </c>
      <c r="D85" s="6" t="str">
        <f>HYPERLINK("https://mail.google.com/mail?extsrc=sync&amp;client=docs&amp;plid=ACUX6DNZsH2gZPW2OINdNu6dLxZTHPByZ-If3Lw", "Otter Voice Meeting Notes")</f>
        <v>Otter Voice Meeting Notes</v>
      </c>
      <c r="E85" s="6" t="str">
        <f>HYPERLINK("https://drive.google.com/file/d/19ftseYzLcs6W78xbcTvwaTw8j2EilD1K/view", "Otter Voice Meeting Notes.pdf")</f>
        <v>Otter Voice Meeting Notes.pdf</v>
      </c>
      <c r="F8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5" s="5"/>
    </row>
    <row r="86" ht="15.75" customHeight="1">
      <c r="A86" s="4">
        <v>45936.58621792824</v>
      </c>
      <c r="B86" s="4">
        <v>45909.44069444445</v>
      </c>
      <c r="C86" s="5" t="s">
        <v>7</v>
      </c>
      <c r="D86" s="6" t="str">
        <f>HYPERLINK("https://mail.google.com/mail?extsrc=sync&amp;client=docs&amp;plid=ACUX6DNCKhfPGKwatiPhWn2wm7asISO02A7WM6k", "Detective Lohman Jeff #1/2")</f>
        <v>Detective Lohman Jeff #1/2</v>
      </c>
      <c r="E86" s="6" t="str">
        <f>HYPERLINK("https://drive.google.com/file/d/103mq8WNklyUdg3TOP_BylaC4BARPzEbO/view", "27333.jpg")</f>
        <v>27333.jpg</v>
      </c>
      <c r="F8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6" s="5"/>
    </row>
    <row r="87" ht="15.75" customHeight="1">
      <c r="A87" s="4">
        <v>45936.58621862269</v>
      </c>
      <c r="B87" s="4">
        <v>45909.44069444445</v>
      </c>
      <c r="C87" s="5" t="s">
        <v>7</v>
      </c>
      <c r="D87" s="6" t="str">
        <f>HYPERLINK("https://mail.google.com/mail?extsrc=sync&amp;client=docs&amp;plid=ACUX6DNCKhfPGKwatiPhWn2wm7asISO02A7WM6k", "Detective Lohman Jeff #2/2")</f>
        <v>Detective Lohman Jeff #2/2</v>
      </c>
      <c r="E87" s="6" t="str">
        <f>HYPERLINK("https://drive.google.com/file/d/11Omy3uIimlfYGnGMWavoDZFuYRbxlB-j/view", "24405.jpg")</f>
        <v>24405.jpg</v>
      </c>
      <c r="F8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7" s="5"/>
    </row>
    <row r="88" ht="15.75" customHeight="1">
      <c r="A88" s="4">
        <v>45936.58624340278</v>
      </c>
      <c r="B88" s="4">
        <v>45909.44069444445</v>
      </c>
      <c r="C88" s="5" t="s">
        <v>7</v>
      </c>
      <c r="D88" s="6" t="str">
        <f>HYPERLINK("https://mail.google.com/mail?extsrc=sync&amp;client=docs&amp;plid=ACUX6DNCKhfPGKwatiPhWn2wm7asISO02A7WM6k", "Detective Lohman Jeff")</f>
        <v>Detective Lohman Jeff</v>
      </c>
      <c r="E88" s="6" t="str">
        <f>HYPERLINK("https://drive.google.com/file/d/1y-T5HyC--ogF-iCrQoHeDXm9Lb6H9nkm/view", "Detective Lohman Jeff.pdf")</f>
        <v>Detective Lohman Jeff.pdf</v>
      </c>
      <c r="F8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8" s="5"/>
    </row>
    <row r="89" ht="15.75" customHeight="1">
      <c r="A89" s="4">
        <v>45936.586159548606</v>
      </c>
      <c r="B89" s="4">
        <v>45906.30729166667</v>
      </c>
      <c r="C89" s="5" t="s">
        <v>7</v>
      </c>
      <c r="D89" s="6" t="str">
        <f>HYPERLINK("https://mail.google.com/mail?extsrc=sync&amp;client=docs&amp;plid=ACUX6DMcd8yF5XgBLZ8kQ-596nl0DSmJj0LpnWg", "Re: application to lease")</f>
        <v>Re: application to lease</v>
      </c>
      <c r="E89" s="6" t="str">
        <f>HYPERLINK("https://drive.google.com/file/d/1G-JgzptpBckx8NNL8nS8jUU20rdxyhLQ/view", "Re application to lease.pdf")</f>
        <v>Re application to lease.pdf</v>
      </c>
      <c r="F8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89" s="5"/>
    </row>
    <row r="90" ht="15.75" customHeight="1">
      <c r="A90" s="4">
        <v>45936.586128333336</v>
      </c>
      <c r="B90" s="4">
        <v>45906.114166666666</v>
      </c>
      <c r="C90" s="5" t="s">
        <v>7</v>
      </c>
      <c r="D90" s="6" t="str">
        <f>HYPERLINK("https://mail.google.com/mail?extsrc=sync&amp;client=docs&amp;plid=ACUX6DMcd8yF5XgBLZ8kQ-596nl0DSmJj0LpnWg", "Fwd: application to lease #1/3")</f>
        <v>Fwd: application to lease #1/3</v>
      </c>
      <c r="E90" s="6" t="str">
        <f>HYPERLINK("https://drive.google.com/file/d/1O-gtjbv1F9gHQDwmqiWHubbzfgPHBQkl/view", "photo.jpg")</f>
        <v>photo.jpg</v>
      </c>
      <c r="F9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0" s="5"/>
    </row>
    <row r="91" ht="15.75" customHeight="1">
      <c r="A91" s="4">
        <v>45936.586128344905</v>
      </c>
      <c r="B91" s="4">
        <v>45906.114166666666</v>
      </c>
      <c r="C91" s="5" t="s">
        <v>7</v>
      </c>
      <c r="D91" s="6" t="str">
        <f>HYPERLINK("https://mail.google.com/mail?extsrc=sync&amp;client=docs&amp;plid=ACUX6DMcd8yF5XgBLZ8kQ-596nl0DSmJj0LpnWg", "Fwd: application to lease #2/3")</f>
        <v>Fwd: application to lease #2/3</v>
      </c>
      <c r="E91" s="6" t="str">
        <f>HYPERLINK("https://drive.google.com/file/d/1QI_hoWwYhpUYUojQQh_mGh6AqdYqXbvd/view", "zipFormPlus.jpg")</f>
        <v>zipFormPlus.jpg</v>
      </c>
      <c r="F9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1" s="5"/>
    </row>
    <row r="92" ht="15.75" customHeight="1">
      <c r="A92" s="4">
        <v>45936.58612835648</v>
      </c>
      <c r="B92" s="4">
        <v>45906.114166666666</v>
      </c>
      <c r="C92" s="5" t="s">
        <v>7</v>
      </c>
      <c r="D92" s="6" t="str">
        <f>HYPERLINK("https://mail.google.com/mail?extsrc=sync&amp;client=docs&amp;plid=ACUX6DMcd8yF5XgBLZ8kQ-596nl0DSmJj0LpnWg", "Fwd: application to lease #3/3")</f>
        <v>Fwd: application to lease #3/3</v>
      </c>
      <c r="E92" s="6" t="str">
        <f>HYPERLINK("https://drive.google.com/file/d/10xt-JCJnj9jMIvdqizYDFfcNpL6O909K/view", "5805_Encinata_Ave_Temple_City-Documents.pdf")</f>
        <v>5805_Encinata_Ave_Temple_City-Documents.pdf</v>
      </c>
      <c r="F9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2" s="5"/>
    </row>
    <row r="93" ht="15.75" customHeight="1">
      <c r="A93" s="4">
        <v>45936.58605849537</v>
      </c>
      <c r="B93" s="4">
        <v>45914.79476851852</v>
      </c>
      <c r="C93" s="5" t="s">
        <v>7</v>
      </c>
      <c r="D93" s="6" t="str">
        <f>HYPERLINK("https://mail.google.com/mail?extsrc=sync&amp;client=docs&amp;plid=ACUX6DOEDpXOz7S0emxEQDafJo-9iTRdrJ-uLsc", "Re:")</f>
        <v>Re:</v>
      </c>
      <c r="E93" s="6" t="str">
        <f>HYPERLINK("https://drive.google.com/file/d/1G0hE1PMVi3BaQ-SBK4sFOD0YAvpz4X8v/view", "Re.pdf")</f>
        <v>Re.pdf</v>
      </c>
      <c r="F9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3" s="5"/>
    </row>
    <row r="94" ht="15.75" customHeight="1">
      <c r="A94" s="4">
        <v>45936.585974733796</v>
      </c>
      <c r="B94" s="4">
        <v>45914.12738425926</v>
      </c>
      <c r="C94" s="5" t="s">
        <v>7</v>
      </c>
      <c r="D94" s="6" t="str">
        <f t="shared" ref="D94:D95" si="21">HYPERLINK("https://mail.google.com/mail?extsrc=sync&amp;client=docs&amp;plid=ACUX6DOEDpXOz7S0emxEQDafJo-9iTRdrJ-uLsc", "")</f>
        <v/>
      </c>
      <c r="E94" s="6" t="str">
        <f>HYPERLINK("https://drive.google.com/file/d/1KTvjTdKV4HwhyxvTgYDTU0ed-hLtj1BA/view", "14413.jpg")</f>
        <v>14413.jpg</v>
      </c>
      <c r="F9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4" s="5"/>
    </row>
    <row r="95" ht="15.75" customHeight="1">
      <c r="A95" s="4">
        <v>45936.586016319445</v>
      </c>
      <c r="B95" s="4">
        <v>45914.12738425926</v>
      </c>
      <c r="C95" s="5" t="s">
        <v>7</v>
      </c>
      <c r="D95" s="6" t="str">
        <f t="shared" si="21"/>
        <v/>
      </c>
      <c r="E95" s="6" t="str">
        <f>HYPERLINK("https://drive.google.com/file/d/1IOyXe7MxY1OVBXMUW4UJuo0Sy_9qyO9b/view", "1759784630122.pdf")</f>
        <v>1759784630122.pdf</v>
      </c>
      <c r="F9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5" s="5"/>
    </row>
    <row r="96" ht="15.75" customHeight="1">
      <c r="A96" s="4">
        <v>45936.58590239583</v>
      </c>
      <c r="B96" s="4">
        <v>45913.7887962963</v>
      </c>
      <c r="C96" s="5" t="s">
        <v>7</v>
      </c>
      <c r="D96" s="6" t="str">
        <f t="shared" ref="D96:D97" si="22">HYPERLINK("https://mail.google.com/mail?extsrc=sync&amp;client=docs&amp;plid=ACUX6DO2Qob4VsiOv7ePXdJFiXIkGUc0dL-hZpY", "(Text from house keeper)")</f>
        <v>(Text from house keeper)</v>
      </c>
      <c r="E96" s="6" t="str">
        <f>HYPERLINK("https://drive.google.com/file/d/1yBo3n_cocCZpmNnE5IU8ds8rb-fRLKwI/view", "96660.jpg")</f>
        <v>96660.jpg</v>
      </c>
      <c r="F9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6" s="5"/>
    </row>
    <row r="97" ht="15.75" customHeight="1">
      <c r="A97" s="4">
        <v>45936.58594517361</v>
      </c>
      <c r="B97" s="4">
        <v>45913.7887962963</v>
      </c>
      <c r="C97" s="5" t="s">
        <v>7</v>
      </c>
      <c r="D97" s="6" t="str">
        <f t="shared" si="22"/>
        <v>(Text from house keeper)</v>
      </c>
      <c r="E97" s="6" t="str">
        <f>HYPERLINK("https://drive.google.com/file/d/1P9V2k_nFr_lpE21O1iqTrVa1UsriAyXv/view", "(Text from house keeper).pdf")</f>
        <v>(Text from house keeper).pdf</v>
      </c>
      <c r="F9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7" s="5"/>
    </row>
    <row r="98" ht="15.75" customHeight="1">
      <c r="A98" s="4">
        <v>45936.585871793985</v>
      </c>
      <c r="B98" s="4">
        <v>45908.28664351851</v>
      </c>
      <c r="C98" s="5" t="s">
        <v>7</v>
      </c>
      <c r="D98" s="6" t="str">
        <f>HYPERLINK("https://mail.google.com/mail?extsrc=sync&amp;client=docs&amp;plid=ACUX6DOb5phxtqY-0ykXJiwHQWBNyQiaqWBGVIo", "AwakenΩne 👁 on “ one of my fav songs, ask| Mia , I &lt;3 this: 'True strength is found when someone learns that solitude is not emptiness but a sanctuary of self worth. When the heart understands that not every presence deserves access and not every connect"&amp;"ion adds value, silence and peace become effortless. It is no longer about resisting temptation but about choosing alignment. When love is defined by growth, respect, and genuine care, everything else feels small and unworthy. This awareness transforms wa"&amp;"iting into wisdom and discipline into freedom. What once felt difficult becomes natural because the soul refuses to settle for less than it deserves.'")</f>
        <v>AwakenΩne 👁 on “ one of my fav songs, ask| Mia , I &lt;3 this: 'True strength is found when someone learns that solitude is not emptiness but a sanctuary of self worth. When the heart understands that not every presence deserves access and not every connection adds value, silence and peace become effortless. It is no longer about resisting temptation but about choosing alignment. When love is defined by growth, respect, and genuine care, everything else feels small and unworthy. This awareness transforms waiting into wisdom and discipline into freedom. What once felt difficult becomes natural because the soul refuses to settle for less than it deserves.'</v>
      </c>
      <c r="E98" s="6" t="str">
        <f>HYPERLINK("https://drive.google.com/file/d/10V7EI6_xWw1Qe5hW1OIveXPcxNu1xbnZ/view", "AwakenΩne 👁 on “ one of my fav songs, ask Mia , I 3 this True strength is found when someone learns that solitude is not emptiness but a sanctuary of self worth. When the heart understands that not every presence deserves access and not every connection "&amp;"adds value, silence and peace become effortless. It is no longer about resisting temptation but about choosing alignment. When love is defined by growth, respect, and genuine care, everything else feels small and unworthy. This awareness transforms waitin"&amp;"g into wisdom and discipline into freedom. What once felt difficult becomes natural because the soul refuses to settle for less than it deserves..pdf")</f>
        <v>AwakenΩne 👁 on “ one of my fav songs, ask Mia , I 3 this True strength is found when someone learns that solitude is not emptiness but a sanctuary of self worth. When the heart understands that not every presence deserves access and not every connection adds value, silence and peace become effortless. It is no longer about resisting temptation but about choosing alignment. When love is defined by growth, respect, and genuine care, everything else feels small and unworthy. This awareness transforms waiting into wisdom and discipline into freedom. What once felt difficult becomes natural because the soul refuses to settle for less than it deserves..pdf</v>
      </c>
      <c r="F9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8" s="5"/>
    </row>
    <row r="99" ht="15.75" customHeight="1">
      <c r="A99" s="4">
        <v>45936.58583496528</v>
      </c>
      <c r="B99" s="4">
        <v>45908.764189814814</v>
      </c>
      <c r="C99" s="5" t="s">
        <v>7</v>
      </c>
      <c r="D99" s="6" t="str">
        <f>HYPERLINK("https://mail.google.com/mail?extsrc=sync&amp;client=docs&amp;plid=ACUX6DNzPuHsgM3vAFEkrzADhpZwGwVriNqOehY", "Re: Our Safety Plan for You &amp; The Kids")</f>
        <v>Re: Our Safety Plan for You &amp; The Kids</v>
      </c>
      <c r="E99" s="6" t="str">
        <f>HYPERLINK("https://drive.google.com/file/d/1Znyn3KuOpJ2_bnkkd_Jrw9LcBGiwe5M9/view", "Re Our Safety Plan for You &amp; The Kids.pdf")</f>
        <v>Re Our Safety Plan for You &amp; The Kids.pdf</v>
      </c>
      <c r="F9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99" s="5"/>
    </row>
    <row r="100" ht="15.75" customHeight="1">
      <c r="A100" s="4">
        <v>45936.58576217592</v>
      </c>
      <c r="B100" s="4">
        <v>45909.53748842592</v>
      </c>
      <c r="C100" s="5" t="s">
        <v>7</v>
      </c>
      <c r="D100" s="6" t="str">
        <f t="shared" ref="D100:D101" si="23">HYPERLINK("https://mail.google.com/mail?extsrc=sync&amp;client=docs&amp;plid=ACUX6DNmVE-Abr4LtlFAIwHBS32tykJqVgt5UF0", "Text message I just received now")</f>
        <v>Text message I just received now</v>
      </c>
      <c r="E100" s="6" t="str">
        <f>HYPERLINK("https://drive.google.com/file/d/1SnCuK-ZJCo8NkxN1etvnMlZRRv3EXKI_/view", "88799.jpg")</f>
        <v>88799.jpg</v>
      </c>
      <c r="F10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0" s="5"/>
    </row>
    <row r="101" ht="15.75" customHeight="1">
      <c r="A101" s="4">
        <v>45936.58580357639</v>
      </c>
      <c r="B101" s="4">
        <v>45909.53748842592</v>
      </c>
      <c r="C101" s="5" t="s">
        <v>7</v>
      </c>
      <c r="D101" s="6" t="str">
        <f t="shared" si="23"/>
        <v>Text message I just received now</v>
      </c>
      <c r="E101" s="6" t="str">
        <f>HYPERLINK("https://drive.google.com/file/d/1QviftzkDDwqRLAVB3L4s2xLxB7M-nsgM/view", "Text message I just received now.pdf")</f>
        <v>Text message I just received now.pdf</v>
      </c>
      <c r="F10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1" s="5"/>
    </row>
    <row r="102" ht="15.75" customHeight="1">
      <c r="A102" s="4">
        <v>45936.58573119213</v>
      </c>
      <c r="B102" s="4">
        <v>45911.80212962963</v>
      </c>
      <c r="C102" s="5" t="s">
        <v>7</v>
      </c>
      <c r="D102" s="6" t="str">
        <f>HYPERLINK("https://mail.google.com/mail?extsrc=sync&amp;client=docs&amp;plid=ACUX6DOG6gqHBB5_oLQ1KJpb_l-hLpxLUB3hvpo", "Re: These are all his properties")</f>
        <v>Re: These are all his properties</v>
      </c>
      <c r="E102" s="6" t="str">
        <f>HYPERLINK("https://drive.google.com/file/d/1bRlrjjP7Y1Aea9o6_8co8RwUmiAUZRFm/view", "Re These are all his properties.pdf")</f>
        <v>Re These are all his properties.pdf</v>
      </c>
      <c r="F10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2" s="5"/>
    </row>
    <row r="103" ht="15.75" customHeight="1">
      <c r="A103" s="4">
        <v>45936.58567759259</v>
      </c>
      <c r="B103" s="4">
        <v>45911.811435185184</v>
      </c>
      <c r="C103" s="5" t="s">
        <v>7</v>
      </c>
      <c r="D103" s="6" t="str">
        <f>HYPERLINK("https://mail.google.com/mail?extsrc=sync&amp;client=docs&amp;plid=ACUX6DOG6gqHBB5_oLQ1KJpb_l-hLpxLUB3hvpo", "Re: These are all his properties #1/2")</f>
        <v>Re: These are all his properties #1/2</v>
      </c>
      <c r="E103" s="6" t="str">
        <f>HYPERLINK("https://drive.google.com/file/d/1XVuvSkmoILj1MJXtOtYFXl672H4Qw0yj/view", "IMG_4967.png")</f>
        <v>IMG_4967.png</v>
      </c>
      <c r="F10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3" s="5"/>
    </row>
    <row r="104" ht="15.75" customHeight="1">
      <c r="A104" s="4">
        <v>45936.58567759259</v>
      </c>
      <c r="B104" s="4">
        <v>45911.811435185184</v>
      </c>
      <c r="C104" s="5" t="s">
        <v>7</v>
      </c>
      <c r="D104" s="6" t="str">
        <f>HYPERLINK("https://mail.google.com/mail?extsrc=sync&amp;client=docs&amp;plid=ACUX6DOG6gqHBB5_oLQ1KJpb_l-hLpxLUB3hvpo", "Re: These are all his properties #2/2")</f>
        <v>Re: These are all his properties #2/2</v>
      </c>
      <c r="E104" s="6" t="str">
        <f>HYPERLINK("https://drive.google.com/file/d/1fZpfN2oe3YyidrZrV6csTKH5VGoEuc_T/view", "IMG_4964.png")</f>
        <v>IMG_4964.png</v>
      </c>
      <c r="F10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4" s="5"/>
    </row>
    <row r="105" ht="15.75" customHeight="1">
      <c r="A105" s="4">
        <v>45936.5857006713</v>
      </c>
      <c r="B105" s="4">
        <v>45911.811435185184</v>
      </c>
      <c r="C105" s="5" t="s">
        <v>7</v>
      </c>
      <c r="D105" s="6" t="str">
        <f>HYPERLINK("https://mail.google.com/mail?extsrc=sync&amp;client=docs&amp;plid=ACUX6DOG6gqHBB5_oLQ1KJpb_l-hLpxLUB3hvpo", "Re: These are all his properties")</f>
        <v>Re: These are all his properties</v>
      </c>
      <c r="E105" s="6" t="str">
        <f>HYPERLINK("https://drive.google.com/file/d/15fkQpVzr-ELFKUFLhrew_X-7T-wWj9UV/view", "Re These are all his properties.pdf")</f>
        <v>Re These are all his properties.pdf</v>
      </c>
      <c r="F10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5" s="5"/>
    </row>
    <row r="106" ht="15.75" customHeight="1">
      <c r="A106" s="4">
        <v>45936.58562462963</v>
      </c>
      <c r="B106" s="4">
        <v>45911.75277777778</v>
      </c>
      <c r="C106" s="5" t="s">
        <v>7</v>
      </c>
      <c r="D106" s="6" t="str">
        <f>HYPERLINK("https://mail.google.com/mail?extsrc=sync&amp;client=docs&amp;plid=ACUX6DOG6gqHBB5_oLQ1KJpb_l-hLpxLUB3hvpo", "These are all his properties")</f>
        <v>These are all his properties</v>
      </c>
      <c r="E106" s="6" t="str">
        <f>HYPERLINK("https://drive.google.com/file/d/1B3jDgNY_HK0eYfA84c56XNp-0kZO6Dkw/view", "Property List-31425NP (1).pdf")</f>
        <v>Property List-31425NP (1).pdf</v>
      </c>
      <c r="F10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6" s="5"/>
    </row>
    <row r="107" ht="15.75" customHeight="1">
      <c r="A107" s="4">
        <v>45936.5855715162</v>
      </c>
      <c r="B107" s="4">
        <v>45911.808703703704</v>
      </c>
      <c r="C107" s="5" t="s">
        <v>7</v>
      </c>
      <c r="D107" s="6" t="str">
        <f>HYPERLINK("https://mail.google.com/mail?extsrc=sync&amp;client=docs&amp;plid=ACUX6DOG6gqHBB5_oLQ1KJpb_l-hLpxLUB3hvpo", "Re: These are all his properties #1/5")</f>
        <v>Re: These are all his properties #1/5</v>
      </c>
      <c r="E107" s="6" t="str">
        <f>HYPERLINK("https://drive.google.com/file/d/1QjcJvu4WiD8LgU-VX8ap_8AMavAH5lGi/view", "IMG_4955.png")</f>
        <v>IMG_4955.png</v>
      </c>
      <c r="F10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7" s="5"/>
    </row>
    <row r="108" ht="15.75" customHeight="1">
      <c r="A108" s="4">
        <v>45936.58557243056</v>
      </c>
      <c r="B108" s="4">
        <v>45911.808703703704</v>
      </c>
      <c r="C108" s="5" t="s">
        <v>7</v>
      </c>
      <c r="D108" s="6" t="str">
        <f>HYPERLINK("https://mail.google.com/mail?extsrc=sync&amp;client=docs&amp;plid=ACUX6DOG6gqHBB5_oLQ1KJpb_l-hLpxLUB3hvpo", "Re: These are all his properties #2/5")</f>
        <v>Re: These are all his properties #2/5</v>
      </c>
      <c r="E108" s="6" t="str">
        <f>HYPERLINK("https://drive.google.com/file/d/1vOzgRV1eH7G0pVFznY8AaQytBWPX2IWa/view", "IMG_4960.png")</f>
        <v>IMG_4960.png</v>
      </c>
      <c r="F10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8" s="5"/>
    </row>
    <row r="109" ht="15.75" customHeight="1">
      <c r="A109" s="4">
        <v>45936.58557243056</v>
      </c>
      <c r="B109" s="4">
        <v>45911.808703703704</v>
      </c>
      <c r="C109" s="5" t="s">
        <v>7</v>
      </c>
      <c r="D109" s="6" t="str">
        <f>HYPERLINK("https://mail.google.com/mail?extsrc=sync&amp;client=docs&amp;plid=ACUX6DOG6gqHBB5_oLQ1KJpb_l-hLpxLUB3hvpo", "Re: These are all his properties #3/5")</f>
        <v>Re: These are all his properties #3/5</v>
      </c>
      <c r="E109" s="6" t="str">
        <f>HYPERLINK("https://drive.google.com/file/d/1TZNCkrDLhM0xJCKWDNrpx3ATIYQQaQIG/view", "IMG_4965.png")</f>
        <v>IMG_4965.png</v>
      </c>
      <c r="F10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09" s="5"/>
    </row>
    <row r="110" ht="15.75" customHeight="1">
      <c r="A110" s="4">
        <v>45936.58557244213</v>
      </c>
      <c r="B110" s="4">
        <v>45911.808703703704</v>
      </c>
      <c r="C110" s="5" t="s">
        <v>7</v>
      </c>
      <c r="D110" s="6" t="str">
        <f>HYPERLINK("https://mail.google.com/mail?extsrc=sync&amp;client=docs&amp;plid=ACUX6DOG6gqHBB5_oLQ1KJpb_l-hLpxLUB3hvpo", "Re: These are all his properties #4/5")</f>
        <v>Re: These are all his properties #4/5</v>
      </c>
      <c r="E110" s="6" t="str">
        <f>HYPERLINK("https://drive.google.com/file/d/1vxnk_4n_uMWJrP8_GvgUyC-3MFE8Hw3i/view", "IMG_4961.png")</f>
        <v>IMG_4961.png</v>
      </c>
      <c r="F11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0" s="5"/>
    </row>
    <row r="111" ht="15.75" customHeight="1">
      <c r="A111" s="4">
        <v>45936.5855724537</v>
      </c>
      <c r="B111" s="4">
        <v>45911.808703703704</v>
      </c>
      <c r="C111" s="5" t="s">
        <v>7</v>
      </c>
      <c r="D111" s="6" t="str">
        <f>HYPERLINK("https://mail.google.com/mail?extsrc=sync&amp;client=docs&amp;plid=ACUX6DOG6gqHBB5_oLQ1KJpb_l-hLpxLUB3hvpo", "Re: These are all his properties #5/5")</f>
        <v>Re: These are all his properties #5/5</v>
      </c>
      <c r="E111" s="6" t="str">
        <f>HYPERLINK("https://drive.google.com/file/d/1xkFsCrsCEtaeWJSuvLcbtLX4pk5mUWkR/view", "IMG_4966.png")</f>
        <v>IMG_4966.png</v>
      </c>
      <c r="F11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1" s="5"/>
    </row>
    <row r="112" ht="15.75" customHeight="1">
      <c r="A112" s="4">
        <v>45936.58560106481</v>
      </c>
      <c r="B112" s="4">
        <v>45911.808703703704</v>
      </c>
      <c r="C112" s="5" t="s">
        <v>7</v>
      </c>
      <c r="D112" s="6" t="str">
        <f>HYPERLINK("https://mail.google.com/mail?extsrc=sync&amp;client=docs&amp;plid=ACUX6DOG6gqHBB5_oLQ1KJpb_l-hLpxLUB3hvpo", "Re: These are all his properties")</f>
        <v>Re: These are all his properties</v>
      </c>
      <c r="E112" s="6" t="str">
        <f>HYPERLINK("https://drive.google.com/file/d/1yhaCfCcu6UkrrcBVlUL8qlJTRL2XpJd1/view", "Re These are all his properties.pdf")</f>
        <v>Re These are all his properties.pdf</v>
      </c>
      <c r="F11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2" s="5"/>
    </row>
    <row r="113" ht="15.75" customHeight="1">
      <c r="A113" s="4">
        <v>45936.58542217592</v>
      </c>
      <c r="B113" s="4">
        <v>45911.81298611111</v>
      </c>
      <c r="C113" s="5" t="s">
        <v>7</v>
      </c>
      <c r="D113" s="6" t="str">
        <f>HYPERLINK("https://mail.google.com/mail?extsrc=sync&amp;client=docs&amp;plid=ACUX6DOG6gqHBB5_oLQ1KJpb_l-hLpxLUB3hvpo", "Re: These are all his properties #1/9")</f>
        <v>Re: These are all his properties #1/9</v>
      </c>
      <c r="E113" s="6" t="str">
        <f>HYPERLINK("https://drive.google.com/file/d/1Dx0JWqjR8r20zEG0TCKZ6Ye1Fh9TiQcD/view", "IMG_4968.png")</f>
        <v>IMG_4968.png</v>
      </c>
      <c r="F11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3" s="5"/>
    </row>
    <row r="114" ht="15.75" customHeight="1">
      <c r="A114" s="4">
        <v>45936.58542309028</v>
      </c>
      <c r="B114" s="4">
        <v>45911.81298611111</v>
      </c>
      <c r="C114" s="5" t="s">
        <v>7</v>
      </c>
      <c r="D114" s="6" t="str">
        <f>HYPERLINK("https://mail.google.com/mail?extsrc=sync&amp;client=docs&amp;plid=ACUX6DOG6gqHBB5_oLQ1KJpb_l-hLpxLUB3hvpo", "Re: These are all his properties #2/9")</f>
        <v>Re: These are all his properties #2/9</v>
      </c>
      <c r="E114" s="6" t="str">
        <f>HYPERLINK("https://drive.google.com/file/d/1EiADu2Et-hZDiVd0zHypE5NpaeWrj7zr/view", "IMG_4970.png")</f>
        <v>IMG_4970.png</v>
      </c>
      <c r="F11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4" s="5"/>
    </row>
    <row r="115" ht="15.75" customHeight="1">
      <c r="A115" s="4">
        <v>45936.58542310185</v>
      </c>
      <c r="B115" s="4">
        <v>45911.81298611111</v>
      </c>
      <c r="C115" s="5" t="s">
        <v>7</v>
      </c>
      <c r="D115" s="6" t="str">
        <f>HYPERLINK("https://mail.google.com/mail?extsrc=sync&amp;client=docs&amp;plid=ACUX6DOG6gqHBB5_oLQ1KJpb_l-hLpxLUB3hvpo", "Re: These are all his properties #3/9")</f>
        <v>Re: These are all his properties #3/9</v>
      </c>
      <c r="E115" s="6" t="str">
        <f>HYPERLINK("https://drive.google.com/file/d/1e-5rDLFest5vUmXifYED6v0TkSNVBF7Q/view", "IMG_4971.png")</f>
        <v>IMG_4971.png</v>
      </c>
      <c r="F11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5" s="5"/>
    </row>
    <row r="116" ht="15.75" customHeight="1">
      <c r="A116" s="4">
        <v>45936.58542310185</v>
      </c>
      <c r="B116" s="4">
        <v>45911.81298611111</v>
      </c>
      <c r="C116" s="5" t="s">
        <v>7</v>
      </c>
      <c r="D116" s="6" t="str">
        <f>HYPERLINK("https://mail.google.com/mail?extsrc=sync&amp;client=docs&amp;plid=ACUX6DOG6gqHBB5_oLQ1KJpb_l-hLpxLUB3hvpo", "Re: These are all his properties #4/9")</f>
        <v>Re: These are all his properties #4/9</v>
      </c>
      <c r="E116" s="6" t="str">
        <f>HYPERLINK("https://drive.google.com/file/d/1ORM1iLUHGWae-5IrFvhaSWDKB1qPLwMV/view", "IMG_4969.png")</f>
        <v>IMG_4969.png</v>
      </c>
      <c r="F11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6" s="5"/>
    </row>
    <row r="117" ht="15.75" customHeight="1">
      <c r="A117" s="4">
        <v>45936.58542311343</v>
      </c>
      <c r="B117" s="4">
        <v>45911.81298611111</v>
      </c>
      <c r="C117" s="5" t="s">
        <v>7</v>
      </c>
      <c r="D117" s="6" t="str">
        <f>HYPERLINK("https://mail.google.com/mail?extsrc=sync&amp;client=docs&amp;plid=ACUX6DOG6gqHBB5_oLQ1KJpb_l-hLpxLUB3hvpo", "Re: These are all his properties #5/9")</f>
        <v>Re: These are all his properties #5/9</v>
      </c>
      <c r="E117" s="6" t="str">
        <f>HYPERLINK("https://drive.google.com/file/d/1aC78NeHe8VJRkQ-Ihb26WOmGViqSGrvH/view", "IMG_4972.png")</f>
        <v>IMG_4972.png</v>
      </c>
      <c r="F11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7" s="5"/>
    </row>
    <row r="118" ht="15.75" customHeight="1">
      <c r="A118" s="4">
        <v>45936.585423125</v>
      </c>
      <c r="B118" s="4">
        <v>45911.81298611111</v>
      </c>
      <c r="C118" s="5" t="s">
        <v>7</v>
      </c>
      <c r="D118" s="6" t="str">
        <f>HYPERLINK("https://mail.google.com/mail?extsrc=sync&amp;client=docs&amp;plid=ACUX6DOG6gqHBB5_oLQ1KJpb_l-hLpxLUB3hvpo", "Re: These are all his properties #6/9")</f>
        <v>Re: These are all his properties #6/9</v>
      </c>
      <c r="E118" s="6" t="str">
        <f>HYPERLINK("https://drive.google.com/file/d/1USvoi-3cmej0Nkt__ZC86wtWBczWrjkS/view", "IMG_4973.png")</f>
        <v>IMG_4973.png</v>
      </c>
      <c r="F11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8" s="5"/>
    </row>
    <row r="119" ht="15.75" customHeight="1">
      <c r="A119" s="4">
        <v>45936.585423125</v>
      </c>
      <c r="B119" s="4">
        <v>45911.81298611111</v>
      </c>
      <c r="C119" s="5" t="s">
        <v>7</v>
      </c>
      <c r="D119" s="6" t="str">
        <f>HYPERLINK("https://mail.google.com/mail?extsrc=sync&amp;client=docs&amp;plid=ACUX6DOG6gqHBB5_oLQ1KJpb_l-hLpxLUB3hvpo", "Re: These are all his properties #7/9")</f>
        <v>Re: These are all his properties #7/9</v>
      </c>
      <c r="E119" s="6" t="str">
        <f>HYPERLINK("https://drive.google.com/file/d/1cXED23uhC4upRKCWb8_ikPm3Bj8xOxal/view", "IMG_4974.png")</f>
        <v>IMG_4974.png</v>
      </c>
      <c r="F11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19" s="5"/>
    </row>
    <row r="120" ht="15.75" customHeight="1">
      <c r="A120" s="4">
        <v>45936.585423136574</v>
      </c>
      <c r="B120" s="4">
        <v>45911.81298611111</v>
      </c>
      <c r="C120" s="5" t="s">
        <v>7</v>
      </c>
      <c r="D120" s="6" t="str">
        <f>HYPERLINK("https://mail.google.com/mail?extsrc=sync&amp;client=docs&amp;plid=ACUX6DOG6gqHBB5_oLQ1KJpb_l-hLpxLUB3hvpo", "Re: These are all his properties #8/9")</f>
        <v>Re: These are all his properties #8/9</v>
      </c>
      <c r="E120" s="6" t="str">
        <f>HYPERLINK("https://drive.google.com/file/d/1k5ZHm50mWO6mBPNzqUiLYDiNmIbYom3j/view", "IMG_4976.png")</f>
        <v>IMG_4976.png</v>
      </c>
      <c r="F12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0" s="5"/>
    </row>
    <row r="121" ht="15.75" customHeight="1">
      <c r="A121" s="4">
        <v>45936.58542314815</v>
      </c>
      <c r="B121" s="4">
        <v>45911.81298611111</v>
      </c>
      <c r="C121" s="5" t="s">
        <v>7</v>
      </c>
      <c r="D121" s="6" t="str">
        <f>HYPERLINK("https://mail.google.com/mail?extsrc=sync&amp;client=docs&amp;plid=ACUX6DOG6gqHBB5_oLQ1KJpb_l-hLpxLUB3hvpo", "Re: These are all his properties #9/9")</f>
        <v>Re: These are all his properties #9/9</v>
      </c>
      <c r="E121" s="6" t="str">
        <f>HYPERLINK("https://drive.google.com/file/d/1sVeQaP_exWdTQIG_LufpGQNPy_IaoEDP/view", "IMG_4975.png")</f>
        <v>IMG_4975.png</v>
      </c>
      <c r="F12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1" s="5"/>
    </row>
    <row r="122" ht="15.75" customHeight="1">
      <c r="A122" s="4">
        <v>45936.58544945602</v>
      </c>
      <c r="B122" s="4">
        <v>45911.81298611111</v>
      </c>
      <c r="C122" s="5" t="s">
        <v>7</v>
      </c>
      <c r="D122" s="6" t="str">
        <f>HYPERLINK("https://mail.google.com/mail?extsrc=sync&amp;client=docs&amp;plid=ACUX6DOG6gqHBB5_oLQ1KJpb_l-hLpxLUB3hvpo", "Re: These are all his properties")</f>
        <v>Re: These are all his properties</v>
      </c>
      <c r="E122" s="6" t="str">
        <f>HYPERLINK("https://drive.google.com/file/d/1LEI4wdnxKojrItToVX0fVCEW0DLgCudg/view", "Re These are all his properties.pdf")</f>
        <v>Re These are all his properties.pdf</v>
      </c>
      <c r="F12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2" s="5"/>
    </row>
    <row r="123" ht="15.75" customHeight="1">
      <c r="A123" s="4">
        <v>45936.58517493056</v>
      </c>
      <c r="B123" s="4">
        <v>45908.88581018518</v>
      </c>
      <c r="C123" s="5" t="s">
        <v>7</v>
      </c>
      <c r="D123" s="6" t="str">
        <f>HYPERLINK("https://mail.google.com/mail?extsrc=sync&amp;client=docs&amp;plid=ACUX6DMhpMMBotBIJ1kUzz2iaaB-jN9vWbixPps", "voicemail-22011984032 #1/2")</f>
        <v>voicemail-22011984032 #1/2</v>
      </c>
      <c r="E123" s="6" t="str">
        <f>HYPERLINK("https://drive.google.com/file/d/1Fc3LAIYVQ8Vbw_cXsROxLtRQwGnYLL3Z/view", "voicemail-22011984032.m4a")</f>
        <v>voicemail-22011984032.m4a</v>
      </c>
      <c r="F12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3" s="5"/>
    </row>
    <row r="124" ht="15.75" customHeight="1">
      <c r="A124" s="4">
        <v>45936.58517582176</v>
      </c>
      <c r="B124" s="4">
        <v>45908.88581018518</v>
      </c>
      <c r="C124" s="5" t="s">
        <v>7</v>
      </c>
      <c r="D124" s="6" t="str">
        <f>HYPERLINK("https://mail.google.com/mail?extsrc=sync&amp;client=docs&amp;plid=ACUX6DMhpMMBotBIJ1kUzz2iaaB-jN9vWbixPps", "voicemail-22011984032 #2/2")</f>
        <v>voicemail-22011984032 #2/2</v>
      </c>
      <c r="E124" s="6" t="str">
        <f>HYPERLINK("https://drive.google.com/file/d/1hJpAVQjGkH4oJ1UJ2HZZDCBCPlSM_44k/view", "voicemail-22011984032.txt")</f>
        <v>voicemail-22011984032.txt</v>
      </c>
      <c r="F12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4" s="5"/>
    </row>
    <row r="125" ht="15.75" customHeight="1">
      <c r="A125" s="4">
        <v>45936.585198483794</v>
      </c>
      <c r="B125" s="4">
        <v>45908.88581018518</v>
      </c>
      <c r="C125" s="5" t="s">
        <v>7</v>
      </c>
      <c r="D125" s="6" t="str">
        <f>HYPERLINK("https://mail.google.com/mail?extsrc=sync&amp;client=docs&amp;plid=ACUX6DMhpMMBotBIJ1kUzz2iaaB-jN9vWbixPps", "voicemail-22011984032")</f>
        <v>voicemail-22011984032</v>
      </c>
      <c r="E125" s="6" t="str">
        <f>HYPERLINK("https://drive.google.com/file/d/1YAx0_2FrzDnmXZfjbVRdyUxp8iJawgxm/view", "voicemail-22011984032.pdf")</f>
        <v>voicemail-22011984032.pdf</v>
      </c>
      <c r="F12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5" s="5"/>
    </row>
    <row r="126" ht="15.75" customHeight="1">
      <c r="A126" s="4">
        <v>45936.58508827546</v>
      </c>
      <c r="B126" s="4">
        <v>45907.83060185185</v>
      </c>
      <c r="C126" s="5" t="s">
        <v>7</v>
      </c>
      <c r="D126" s="6" t="str">
        <f t="shared" ref="D126:D127" si="24">HYPERLINK("https://mail.google.com/mail?extsrc=sync&amp;client=docs&amp;plid=ACUX6DMCSGF9l9KEiRc9DvEHU-betruTNzgDPNA", "I’m tracking her they’re almost home")</f>
        <v>I’m tracking her they’re almost home</v>
      </c>
      <c r="E126" s="6" t="str">
        <f>HYPERLINK("https://drive.google.com/file/d/1opv-wFocFjKFB5kNmgJVbqI3YeIzlqMt/view", "12CC64B1-9D38-449B-9734-7FA15C72B565.png")</f>
        <v>12CC64B1-9D38-449B-9734-7FA15C72B565.png</v>
      </c>
      <c r="F12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6" s="5"/>
    </row>
    <row r="127" ht="15.75" customHeight="1">
      <c r="A127" s="4">
        <v>45936.585113761575</v>
      </c>
      <c r="B127" s="4">
        <v>45907.83060185185</v>
      </c>
      <c r="C127" s="5" t="s">
        <v>7</v>
      </c>
      <c r="D127" s="6" t="str">
        <f t="shared" si="24"/>
        <v>I’m tracking her they’re almost home</v>
      </c>
      <c r="E127" s="6" t="str">
        <f>HYPERLINK("https://drive.google.com/file/d/1h_ow9lzKeW_3fbdfHm4h-pD9MY-glIdk/view", "I’m tracking her they’re almost home.pdf")</f>
        <v>I’m tracking her they’re almost home.pdf</v>
      </c>
      <c r="F12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7" s="5"/>
    </row>
    <row r="128" ht="15.75" customHeight="1">
      <c r="A128" s="4">
        <v>45936.58505197917</v>
      </c>
      <c r="B128" s="4">
        <v>45906.56115740741</v>
      </c>
      <c r="C128" s="5" t="s">
        <v>7</v>
      </c>
      <c r="D128" s="6" t="str">
        <f>HYPERLINK("https://mail.google.com/mail?extsrc=sync&amp;client=docs&amp;plid=ACUX6DP5whZC7ALiJOU74qCSSLvMmt2uNA4ZYfQ", "Re: Nuha Sayegh – Doc checklist + timeline for 5805 Encinita")</f>
        <v>Re: Nuha Sayegh – Doc checklist + timeline for 5805 Encinita</v>
      </c>
      <c r="E128" s="6" t="str">
        <f>HYPERLINK("https://drive.google.com/file/d/1n0zZTIsE1_y5Cy-K5e2VdaXEKeCwRXSI/view", "Re Nuha Sayegh – Doc checklist + timeline for 5805 Encinita.pdf")</f>
        <v>Re Nuha Sayegh – Doc checklist + timeline for 5805 Encinita.pdf</v>
      </c>
      <c r="F12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8" s="5"/>
    </row>
    <row r="129" ht="15.75" customHeight="1">
      <c r="A129" s="4">
        <v>45936.585019502316</v>
      </c>
      <c r="B129" s="4">
        <v>45909.55508101852</v>
      </c>
      <c r="C129" s="5" t="s">
        <v>7</v>
      </c>
      <c r="D129" s="6" t="str">
        <f t="shared" ref="D129:D132" si="25">HYPERLINK("https://mail.google.com/mail?extsrc=sync&amp;client=docs&amp;plid=ACUX6DPvB9mSyDvsSD0BX5taAeubPtTqGMIyzXY", "Re: Good morning, I’ll text fillipo once I drop kids off and pray there’s no court or anything for matter")</f>
        <v>Re: Good morning, I’ll text fillipo once I drop kids off and pray there’s no court or anything for matter</v>
      </c>
      <c r="E129" s="6" t="str">
        <f>HYPERLINK("https://drive.google.com/file/d/1SDqnzxHdYXOa9ZfBEJJ6sfH9vkgHAHE7/view", "Re Good morning, I’ll text fillipo once I drop kids off and pray there’s no court or anything for matter.pdf")</f>
        <v>Re Good morning, I’ll text fillipo once I drop kids off and pray there’s no court or anything for matter.pdf</v>
      </c>
      <c r="F12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29" s="5"/>
    </row>
    <row r="130" ht="15.75" customHeight="1">
      <c r="A130" s="4">
        <v>45936.58499048611</v>
      </c>
      <c r="B130" s="4">
        <v>45909.54971064815</v>
      </c>
      <c r="C130" s="5" t="s">
        <v>7</v>
      </c>
      <c r="D130" s="6" t="str">
        <f t="shared" si="25"/>
        <v>Re: Good morning, I’ll text fillipo once I drop kids off and pray there’s no court or anything for matter</v>
      </c>
      <c r="E130" s="6" t="str">
        <f>HYPERLINK("https://drive.google.com/file/d/1_vnwcbETGWIdN0m1ZIW5ziJP-98Fn1SF/view", "Re Good morning, I’ll text fillipo once I drop kids off and pray there’s no court or anything for matter.pdf")</f>
        <v>Re Good morning, I’ll text fillipo once I drop kids off and pray there’s no court or anything for matter.pdf</v>
      </c>
      <c r="F13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0" s="5"/>
    </row>
    <row r="131" ht="15.75" customHeight="1">
      <c r="A131" s="4">
        <v>45936.584937974534</v>
      </c>
      <c r="B131" s="4">
        <v>45909.555879629625</v>
      </c>
      <c r="C131" s="5" t="s">
        <v>7</v>
      </c>
      <c r="D131" s="6" t="str">
        <f t="shared" si="25"/>
        <v>Re: Good morning, I’ll text fillipo once I drop kids off and pray there’s no court or anything for matter</v>
      </c>
      <c r="E131" s="6" t="str">
        <f>HYPERLINK("https://drive.google.com/file/d/1yIiBaYgFWn3VriatM1lsnLJzJLWA7Cee/view", "93768.jpg")</f>
        <v>93768.jpg</v>
      </c>
      <c r="F13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1" s="5"/>
    </row>
    <row r="132" ht="15.75" customHeight="1">
      <c r="A132" s="4">
        <v>45936.584965057875</v>
      </c>
      <c r="B132" s="4">
        <v>45909.555879629625</v>
      </c>
      <c r="C132" s="5" t="s">
        <v>7</v>
      </c>
      <c r="D132" s="6" t="str">
        <f t="shared" si="25"/>
        <v>Re: Good morning, I’ll text fillipo once I drop kids off and pray there’s no court or anything for matter</v>
      </c>
      <c r="E132" s="6" t="str">
        <f>HYPERLINK("https://drive.google.com/file/d/1ab2JuBmDgnaZ7A2siwubvbqT0Klz3jfp/view", "Re Good morning, I’ll text fillipo once I drop kids off and pray there’s no court or anything for matter.pdf")</f>
        <v>Re Good morning, I’ll text fillipo once I drop kids off and pray there’s no court or anything for matter.pdf</v>
      </c>
      <c r="F13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2" s="5"/>
    </row>
    <row r="133" ht="15.75" customHeight="1">
      <c r="A133" s="4">
        <v>45936.584875810186</v>
      </c>
      <c r="B133" s="4">
        <v>45906.77988425926</v>
      </c>
      <c r="C133" s="5" t="s">
        <v>7</v>
      </c>
      <c r="D133" s="6" t="str">
        <f>HYPERLINK("https://mail.google.com/mail?extsrc=sync&amp;client=docs&amp;plid=ACUX6DOLOZiCygimw0npGhdSHdHj4KQqFnoZg38", "Fwd: #1/8")</f>
        <v>Fwd: #1/8</v>
      </c>
      <c r="E133" s="6" t="str">
        <f>HYPERLINK("https://drive.google.com/file/d/1-8ZazatIZfe4c3Fc0dC8EpnwxzuKNax0/view", "IMG_64BCFF2D8450-1.jpeg")</f>
        <v>IMG_64BCFF2D8450-1.jpeg</v>
      </c>
      <c r="F13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3" s="5"/>
    </row>
    <row r="134" ht="15.75" customHeight="1">
      <c r="A134" s="4">
        <v>45936.58487582176</v>
      </c>
      <c r="B134" s="4">
        <v>45906.77988425926</v>
      </c>
      <c r="C134" s="5" t="s">
        <v>7</v>
      </c>
      <c r="D134" s="6" t="str">
        <f>HYPERLINK("https://mail.google.com/mail?extsrc=sync&amp;client=docs&amp;plid=ACUX6DOLOZiCygimw0npGhdSHdHj4KQqFnoZg38", "Fwd: #2/8")</f>
        <v>Fwd: #2/8</v>
      </c>
      <c r="E134" s="6" t="str">
        <f>HYPERLINK("https://drive.google.com/file/d/1gCjNKQS0UHiDTbsfvTJqNETHeRAxAyua/view", "IMG_89B095BF2608-1.jpeg")</f>
        <v>IMG_89B095BF2608-1.jpeg</v>
      </c>
      <c r="F13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4" s="5"/>
    </row>
    <row r="135" ht="15.75" customHeight="1">
      <c r="A135" s="4">
        <v>45936.58487584491</v>
      </c>
      <c r="B135" s="4">
        <v>45906.77988425926</v>
      </c>
      <c r="C135" s="5" t="s">
        <v>7</v>
      </c>
      <c r="D135" s="6" t="str">
        <f>HYPERLINK("https://mail.google.com/mail?extsrc=sync&amp;client=docs&amp;plid=ACUX6DOLOZiCygimw0npGhdSHdHj4KQqFnoZg38", "Fwd: #3/8")</f>
        <v>Fwd: #3/8</v>
      </c>
      <c r="E135" s="6" t="str">
        <f>HYPERLINK("https://drive.google.com/file/d/1kd2BM_6FBVsuCS0uA0MjO_zWZo4ZHUnX/view", "ADB18D2E-FF01-42CA-B7E8-797AE85B8C4F-list.pdf")</f>
        <v>ADB18D2E-FF01-42CA-B7E8-797AE85B8C4F-list.pdf</v>
      </c>
      <c r="F13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5" s="5"/>
    </row>
    <row r="136" ht="15.75" customHeight="1">
      <c r="A136" s="4">
        <v>45936.58487584491</v>
      </c>
      <c r="B136" s="4">
        <v>45906.77988425926</v>
      </c>
      <c r="C136" s="5" t="s">
        <v>7</v>
      </c>
      <c r="D136" s="6" t="str">
        <f>HYPERLINK("https://mail.google.com/mail?extsrc=sync&amp;client=docs&amp;plid=ACUX6DOLOZiCygimw0npGhdSHdHj4KQqFnoZg38", "Fwd: #4/8")</f>
        <v>Fwd: #4/8</v>
      </c>
      <c r="E136" s="6" t="str">
        <f>HYPERLINK("https://drive.google.com/file/d/1l6tFfRG_EIi6GppteWgIQeR9001mstGI/view", "AF62CD65-C77A-4412-802C-80E626313A46-list.pdf")</f>
        <v>AF62CD65-C77A-4412-802C-80E626313A46-list.pdf</v>
      </c>
      <c r="F13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6" s="5"/>
    </row>
    <row r="137" ht="15.75" customHeight="1">
      <c r="A137" s="4">
        <v>45936.58487585648</v>
      </c>
      <c r="B137" s="4">
        <v>45906.77988425926</v>
      </c>
      <c r="C137" s="5" t="s">
        <v>7</v>
      </c>
      <c r="D137" s="6" t="str">
        <f>HYPERLINK("https://mail.google.com/mail?extsrc=sync&amp;client=docs&amp;plid=ACUX6DOLOZiCygimw0npGhdSHdHj4KQqFnoZg38", "Fwd: #5/8")</f>
        <v>Fwd: #5/8</v>
      </c>
      <c r="E137" s="6" t="str">
        <f>HYPERLINK("https://drive.google.com/file/d/1lw1ntxqZxy5qF20LCEYnPDNnGdoAKkJ3/view", "Nuha Sayegh 2-16.pdf")</f>
        <v>Nuha Sayegh 2-16.pdf</v>
      </c>
      <c r="F13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7" s="5"/>
    </row>
    <row r="138" ht="15.75" customHeight="1">
      <c r="A138" s="4">
        <v>45936.58487585648</v>
      </c>
      <c r="B138" s="4">
        <v>45906.77988425926</v>
      </c>
      <c r="C138" s="5" t="s">
        <v>7</v>
      </c>
      <c r="D138" s="6" t="str">
        <f>HYPERLINK("https://mail.google.com/mail?extsrc=sync&amp;client=docs&amp;plid=ACUX6DOLOZiCygimw0npGhdSHdHj4KQqFnoZg38", "Fwd: #6/8")</f>
        <v>Fwd: #6/8</v>
      </c>
      <c r="E138" s="6" t="str">
        <f>HYPERLINK("https://drive.google.com/file/d/1_YLGXbxClRRrDvdmbPSWbuLSqlnmse64/view", "Nuha Sayegh 3-1.pdf")</f>
        <v>Nuha Sayegh 3-1.pdf</v>
      </c>
      <c r="F13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8" s="5"/>
    </row>
    <row r="139" ht="15.75" customHeight="1">
      <c r="A139" s="4">
        <v>45936.58487586805</v>
      </c>
      <c r="B139" s="4">
        <v>45906.77988425926</v>
      </c>
      <c r="C139" s="5" t="s">
        <v>7</v>
      </c>
      <c r="D139" s="6" t="str">
        <f>HYPERLINK("https://mail.google.com/mail?extsrc=sync&amp;client=docs&amp;plid=ACUX6DOLOZiCygimw0npGhdSHdHj4KQqFnoZg38", "Fwd: #7/8")</f>
        <v>Fwd: #7/8</v>
      </c>
      <c r="E139" s="6" t="str">
        <f>HYPERLINK("https://drive.google.com/file/d/15yAhfFGtrI3ZBUexPTWqBMYUr__0EUBV/view", "07C0B6C6-BAA4-4B94-AD5F-284B4344E88D-list.pdf")</f>
        <v>07C0B6C6-BAA4-4B94-AD5F-284B4344E88D-list.pdf</v>
      </c>
      <c r="F13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39" s="5"/>
    </row>
    <row r="140" ht="15.75" customHeight="1">
      <c r="A140" s="4">
        <v>45936.58487586805</v>
      </c>
      <c r="B140" s="4">
        <v>45906.77988425926</v>
      </c>
      <c r="C140" s="5" t="s">
        <v>7</v>
      </c>
      <c r="D140" s="6" t="str">
        <f>HYPERLINK("https://mail.google.com/mail?extsrc=sync&amp;client=docs&amp;plid=ACUX6DOLOZiCygimw0npGhdSHdHj4KQqFnoZg38", "Fwd: #8/8")</f>
        <v>Fwd: #8/8</v>
      </c>
      <c r="E140" s="6" t="str">
        <f>HYPERLINK("https://drive.google.com/file/d/1DSQjfysQyfN04AYMI-_bEWIM324eNEiH/view", "new rent.pdf")</f>
        <v>new rent.pdf</v>
      </c>
      <c r="F14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0" s="5"/>
    </row>
    <row r="141" ht="15.75" customHeight="1">
      <c r="A141" s="4">
        <v>45936.58490153935</v>
      </c>
      <c r="B141" s="4">
        <v>45906.77988425926</v>
      </c>
      <c r="C141" s="5" t="s">
        <v>7</v>
      </c>
      <c r="D141" s="6" t="str">
        <f>HYPERLINK("https://mail.google.com/mail?extsrc=sync&amp;client=docs&amp;plid=ACUX6DOLOZiCygimw0npGhdSHdHj4KQqFnoZg38", "Fwd:")</f>
        <v>Fwd:</v>
      </c>
      <c r="E141" s="6" t="str">
        <f>HYPERLINK("https://drive.google.com/file/d/15DUbvuvFXvjehu6lwot_LYzrJ8utxTlG/view", "Fwd.pdf")</f>
        <v>Fwd.pdf</v>
      </c>
      <c r="F14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1" s="5"/>
    </row>
    <row r="142" ht="15.75" customHeight="1">
      <c r="A142" s="4">
        <v>45936.584686689814</v>
      </c>
      <c r="B142" s="4">
        <v>45908.939791666664</v>
      </c>
      <c r="C142" s="5" t="s">
        <v>7</v>
      </c>
      <c r="D142" s="6" t="str">
        <f>HYPERLINK("https://mail.google.com/mail?extsrc=sync&amp;client=docs&amp;plid=ACUX6DN-2N3zmtJ93C7Q78WwtQSrLSVcrSiyjTM", "Fillipo")</f>
        <v>Fillipo</v>
      </c>
      <c r="E142" s="6" t="str">
        <f>HYPERLINK("https://drive.google.com/file/d/1UxPedw7oJwmkSEgRtJmeRDFuUrA2FknG/view", "Fillipo.pdf")</f>
        <v>Fillipo.pdf</v>
      </c>
      <c r="F14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2" s="5"/>
    </row>
    <row r="143" ht="15.75" customHeight="1">
      <c r="A143" s="4">
        <v>45936.58464637732</v>
      </c>
      <c r="B143" s="4">
        <v>45906.56868055556</v>
      </c>
      <c r="C143" s="5" t="s">
        <v>7</v>
      </c>
      <c r="D143" s="6" t="str">
        <f>HYPERLINK("https://mail.google.com/mail?extsrc=sync&amp;client=docs&amp;plid=ACUX6DMBPZRq5vUu4shLbyvBGnhGCS9N-u9wSlg", "Fwd: Jonathan, email before is everything you asked for")</f>
        <v>Fwd: Jonathan, email before is everything you asked for</v>
      </c>
      <c r="E143" s="6" t="str">
        <f>HYPERLINK("https://drive.google.com/file/d/1JCy_39pKQm_a08m4qTrkhe9LNAA4Tp2B/view", "9-6-25 hope.pdf")</f>
        <v>9-6-25 hope.pdf</v>
      </c>
      <c r="F14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3" s="5"/>
    </row>
    <row r="144" ht="15.75" customHeight="1">
      <c r="A144" s="4">
        <v>45936.58461685185</v>
      </c>
      <c r="B144" s="4">
        <v>45911.62195601852</v>
      </c>
      <c r="C144" s="5" t="s">
        <v>7</v>
      </c>
      <c r="D144" s="6" t="str">
        <f>HYPERLINK("https://mail.google.com/mail?extsrc=sync&amp;client=docs&amp;plid=ACUX6DNJaO5t2N3tNYRiPejae4eaYIATunKioEw", "Fwd: DVRO 25PRO01246 #1/4")</f>
        <v>Fwd: DVRO 25PRO01246 #1/4</v>
      </c>
      <c r="E144" s="6" t="str">
        <f>HYPERLINK("https://drive.google.com/file/d/1RrpjOuZK__aV5iZOYp18izgxgb39W6uR/view", "DV 109,110,100.pdf")</f>
        <v>DV 109,110,100.pdf</v>
      </c>
      <c r="F14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4" s="5"/>
    </row>
    <row r="145" ht="15.75" customHeight="1">
      <c r="A145" s="4">
        <v>45936.584617754634</v>
      </c>
      <c r="B145" s="4">
        <v>45911.62195601852</v>
      </c>
      <c r="C145" s="5" t="s">
        <v>7</v>
      </c>
      <c r="D145" s="6" t="str">
        <f>HYPERLINK("https://mail.google.com/mail?extsrc=sync&amp;client=docs&amp;plid=ACUX6DNJaO5t2N3tNYRiPejae4eaYIATunKioEw", "Fwd: DVRO 25PRO01246 #2/4")</f>
        <v>Fwd: DVRO 25PRO01246 #2/4</v>
      </c>
      <c r="E145" s="6" t="str">
        <f>HYPERLINK("https://drive.google.com/file/d/1XtZYWGvPPBWO-lwho5t43C_7hvZBMHl-/view", "DV 110.pdf")</f>
        <v>DV 110.pdf</v>
      </c>
      <c r="F14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5" s="5"/>
    </row>
    <row r="146" ht="15.75" customHeight="1">
      <c r="A146" s="4">
        <v>45936.5846177662</v>
      </c>
      <c r="B146" s="4">
        <v>45911.62195601852</v>
      </c>
      <c r="C146" s="5" t="s">
        <v>7</v>
      </c>
      <c r="D146" s="6" t="str">
        <f>HYPERLINK("https://mail.google.com/mail?extsrc=sync&amp;client=docs&amp;plid=ACUX6DNJaO5t2N3tNYRiPejae4eaYIATunKioEw", "Fwd: DVRO 25PRO01246 #3/4")</f>
        <v>Fwd: DVRO 25PRO01246 #3/4</v>
      </c>
      <c r="E146" s="6" t="str">
        <f>HYPERLINK("https://drive.google.com/file/d/1fjkSTnanFVLYR96zfx3Q-SkznJEB5Wrk/view", "DV200.pdf")</f>
        <v>DV200.pdf</v>
      </c>
      <c r="F14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6" s="5"/>
    </row>
    <row r="147" ht="15.75" customHeight="1">
      <c r="A147" s="4">
        <v>45936.58461777778</v>
      </c>
      <c r="B147" s="4">
        <v>45911.62195601852</v>
      </c>
      <c r="C147" s="5" t="s">
        <v>7</v>
      </c>
      <c r="D147" s="6" t="str">
        <f>HYPERLINK("https://mail.google.com/mail?extsrc=sync&amp;client=docs&amp;plid=ACUX6DNJaO5t2N3tNYRiPejae4eaYIATunKioEw", "Fwd: DVRO 25PRO01246 #4/4")</f>
        <v>Fwd: DVRO 25PRO01246 #4/4</v>
      </c>
      <c r="E147" s="6" t="str">
        <f>HYPERLINK("https://drive.google.com/file/d/14Ke4gI5-m6DS-cNTPbBg1JtnCIzB_g7-/view", "DV120.pdf")</f>
        <v>DV120.pdf</v>
      </c>
      <c r="F14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7" s="5"/>
    </row>
    <row r="148" ht="15.75" customHeight="1">
      <c r="A148" s="4">
        <v>45936.58449851852</v>
      </c>
      <c r="B148" s="4">
        <v>45909.41447916666</v>
      </c>
      <c r="C148" s="5" t="s">
        <v>7</v>
      </c>
      <c r="D148" s="6" t="str">
        <f t="shared" ref="D148:D149" si="26">HYPERLINK("https://mail.google.com/mail?extsrc=sync&amp;client=docs&amp;plid=ACUX6DM__MiCTn0ZD9jjLPpguqiHfkT-1a4j4tQ", "Barney just FaceTime me screenshot down below")</f>
        <v>Barney just FaceTime me screenshot down below</v>
      </c>
      <c r="E148" s="6" t="str">
        <f>HYPERLINK("https://drive.google.com/file/d/1lShH3xgev0zDuxqeMVSCJv8xAA3Nu3mQ/view", "83583.jpg")</f>
        <v>83583.jpg</v>
      </c>
      <c r="F14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8" s="5"/>
    </row>
    <row r="149" ht="15.75" customHeight="1">
      <c r="A149" s="4">
        <v>45936.584530196764</v>
      </c>
      <c r="B149" s="4">
        <v>45909.41447916666</v>
      </c>
      <c r="C149" s="5" t="s">
        <v>7</v>
      </c>
      <c r="D149" s="6" t="str">
        <f t="shared" si="26"/>
        <v>Barney just FaceTime me screenshot down below</v>
      </c>
      <c r="E149" s="6" t="str">
        <f>HYPERLINK("https://drive.google.com/file/d/19PFjCiSGz3fm0daC_KRpDR3kxoWRiP1p/view", "Barney just FaceTime me screenshot down below.pdf")</f>
        <v>Barney just FaceTime me screenshot down below.pdf</v>
      </c>
      <c r="F14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49" s="5"/>
    </row>
    <row r="150" ht="15.75" customHeight="1">
      <c r="A150" s="4">
        <v>45936.584449560185</v>
      </c>
      <c r="B150" s="4">
        <v>45910.45936342592</v>
      </c>
      <c r="C150" s="5" t="s">
        <v>8</v>
      </c>
      <c r="D150" s="6" t="str">
        <f>HYPERLINK("https://mail.google.com/mail?extsrc=sync&amp;client=docs&amp;plid=ACUX6DPsCfHoERXa7L8EggYM03Kz5mqYgjZrdWQ", "Fwd: DV-130 Domestic Violence Restraining Order After Hearing")</f>
        <v>Fwd: DV-130 Domestic Violence Restraining Order After Hearing</v>
      </c>
      <c r="E150" s="6" t="str">
        <f>HYPERLINK("https://drive.google.com/file/d/1lEaJB3Z46yYjBALycqKxDy22Bbrykxqr/view", "Fwd DV-130 Domestic Violence Restraining Order After Hearing.pdf")</f>
        <v>Fwd DV-130 Domestic Violence Restraining Order After Hearing.pdf</v>
      </c>
      <c r="F15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0" s="5"/>
    </row>
    <row r="151" ht="15.75" customHeight="1">
      <c r="A151" s="4">
        <v>45936.58441438657</v>
      </c>
      <c r="B151" s="4">
        <v>45912.60915509259</v>
      </c>
      <c r="C151" s="5" t="s">
        <v>7</v>
      </c>
      <c r="D151" s="6" t="str">
        <f t="shared" ref="D151:D152" si="27">HYPERLINK("https://mail.google.com/mail?extsrc=sync&amp;client=docs&amp;plid=ACUX6DN3ENH5TcO3TlLLCswcP5HuaUZj39oNRuw", "Re: I’ve already spoken to the manager his name is Kia")</f>
        <v>Re: I’ve already spoken to the manager his name is Kia</v>
      </c>
      <c r="E151" s="6" t="str">
        <f>HYPERLINK("https://drive.google.com/file/d/1UsHrvfJ1nfe9n9uHIWuaToH8uwCVlq8k/view", "Re I’ve already spoken to the manager his name is Kia.pdf")</f>
        <v>Re I’ve already spoken to the manager his name is Kia.pdf</v>
      </c>
      <c r="F15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1" s="5"/>
    </row>
    <row r="152" ht="15.75" customHeight="1">
      <c r="A152" s="4">
        <v>45936.58438490741</v>
      </c>
      <c r="B152" s="4">
        <v>45912.6544212963</v>
      </c>
      <c r="C152" s="5" t="s">
        <v>7</v>
      </c>
      <c r="D152" s="6" t="str">
        <f t="shared" si="27"/>
        <v>Re: I’ve already spoken to the manager his name is Kia</v>
      </c>
      <c r="E152" s="6" t="str">
        <f>HYPERLINK("https://drive.google.com/file/d/1Zh4MZRaThr-U9gdcD77uINooJm744XAd/view", "Re I’ve already spoken to the manager his name is Kia.pdf")</f>
        <v>Re I’ve already spoken to the manager his name is Kia.pdf</v>
      </c>
      <c r="F15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2" s="5"/>
    </row>
    <row r="153" ht="15.75" customHeight="1">
      <c r="A153" s="4">
        <v>45936.58435655093</v>
      </c>
      <c r="B153" s="4">
        <v>45912.585486111115</v>
      </c>
      <c r="C153" s="5" t="s">
        <v>7</v>
      </c>
      <c r="D153" s="6" t="str">
        <f>HYPERLINK("https://mail.google.com/mail?extsrc=sync&amp;client=docs&amp;plid=ACUX6DN3ENH5TcO3TlLLCswcP5HuaUZj39oNRuw", "I’ve already spoken to the manager his name is Kia")</f>
        <v>I’ve already spoken to the manager his name is Kia</v>
      </c>
      <c r="E153" s="6" t="str">
        <f>HYPERLINK("https://drive.google.com/file/d/1hDazAbkX4z6WAMKra4KqkzlrytrtbXYW/view", "I’ve already spoken to the manager his name is Kia.pdf")</f>
        <v>I’ve already spoken to the manager his name is Kia.pdf</v>
      </c>
      <c r="F15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3" s="5"/>
    </row>
    <row r="154" ht="15.75" customHeight="1">
      <c r="A154" s="4">
        <v>45936.58431875</v>
      </c>
      <c r="B154" s="4">
        <v>45906.6844212963</v>
      </c>
      <c r="C154" s="5" t="s">
        <v>7</v>
      </c>
      <c r="D154" s="6" t="str">
        <f>HYPERLINK("https://mail.google.com/mail?extsrc=sync&amp;client=docs&amp;plid=ACUX6DPx6ZEorqFrdEEu0yj8YZYOtvMlXGD848U", "Re: still need more info for application")</f>
        <v>Re: still need more info for application</v>
      </c>
      <c r="E154" s="6" t="str">
        <f>HYPERLINK("https://drive.google.com/file/d/1O5T9_X2SbZLEJ8Gx0x_LmN3RQ9G6dCzN/view", "Re still need more info for application.pdf")</f>
        <v>Re still need more info for application.pdf</v>
      </c>
      <c r="F15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4" s="5"/>
    </row>
    <row r="155" ht="15.75" customHeight="1">
      <c r="A155" s="4">
        <v>45936.584091192126</v>
      </c>
      <c r="B155" s="4">
        <v>45916.10990740741</v>
      </c>
      <c r="C155" s="5" t="s">
        <v>7</v>
      </c>
      <c r="D155" s="6" t="str">
        <f>HYPERLINK("https://mail.google.com/mail?extsrc=sync&amp;client=docs&amp;plid=ACUX6DNdC0edwChOeR_IWCyfRJQhLy6igPWylVU", "Naved Khan on Instagram: 'One more 💃😜😜'")</f>
        <v>Naved Khan on Instagram: 'One more 💃😜😜'</v>
      </c>
      <c r="E155" s="6" t="str">
        <f>HYPERLINK("https://drive.google.com/file/d/1cTeFm7OdWDzl-qqqYcZNfYrno_JEoskf/view", "Naved Khan on Instagram One more 💃😜😜.pdf")</f>
        <v>Naved Khan on Instagram One more 💃😜😜.pdf</v>
      </c>
      <c r="F15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5" s="5"/>
    </row>
    <row r="156" ht="15.75" customHeight="1">
      <c r="A156" s="4">
        <v>45936.58406363426</v>
      </c>
      <c r="B156" s="4">
        <v>45917.36542824074</v>
      </c>
      <c r="C156" s="5" t="s">
        <v>7</v>
      </c>
      <c r="D156" s="6" t="str">
        <f>HYPERLINK("https://mail.google.com/mail?extsrc=sync&amp;client=docs&amp;plid=ACUX6DNeN0o450rAc_dlijRTyGN2XmXT3S9kfz0", "Re: 😈🎧 9 Free Stories For You")</f>
        <v>Re: 😈🎧 9 Free Stories For You</v>
      </c>
      <c r="E156" s="6" t="str">
        <f>HYPERLINK("https://drive.google.com/file/d/1bbWpaeGU0FH69a9OJLj2GrYxnhIhafnL/view", "Re 😈🎧 9 Free Stories For You.pdf")</f>
        <v>Re 😈🎧 9 Free Stories For You.pdf</v>
      </c>
      <c r="F15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6" s="5"/>
    </row>
    <row r="157" ht="15.75" customHeight="1">
      <c r="A157" s="4">
        <v>45936.584009722224</v>
      </c>
      <c r="B157" s="4">
        <v>45917.82666666667</v>
      </c>
      <c r="C157" s="5" t="s">
        <v>7</v>
      </c>
      <c r="D157" s="6" t="str">
        <f t="shared" ref="D157:D158" si="28">HYPERLINK("https://mail.google.com/mail?extsrc=sync&amp;client=docs&amp;plid=ACUX6DOLv7dUJcH6eW2R9Nd9w1RYrYcD5F8Met0", "")</f>
        <v/>
      </c>
      <c r="E157" s="6" t="str">
        <f>HYPERLINK("https://drive.google.com/file/d/19SktxPZ52AU5a54SuQHQFYcvwhjERmQw/view", "IMG_5021.JPG")</f>
        <v>IMG_5021.JPG</v>
      </c>
      <c r="F15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7" s="5"/>
    </row>
    <row r="158" ht="15.75" customHeight="1">
      <c r="A158" s="4">
        <v>45936.58403251157</v>
      </c>
      <c r="B158" s="4">
        <v>45917.82666666667</v>
      </c>
      <c r="C158" s="5" t="s">
        <v>7</v>
      </c>
      <c r="D158" s="6" t="str">
        <f t="shared" si="28"/>
        <v/>
      </c>
      <c r="E158" s="6" t="str">
        <f>HYPERLINK("https://drive.google.com/file/d/1z-ba1JBWg6xYd7KSWLmvlaCv84vTP-cj/view", "1759784459098.pdf")</f>
        <v>1759784459098.pdf</v>
      </c>
      <c r="F15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8" s="5"/>
    </row>
    <row r="159" ht="15.75" customHeight="1">
      <c r="A159" s="4">
        <v>45936.5839509838</v>
      </c>
      <c r="B159" s="4">
        <v>45917.02253472222</v>
      </c>
      <c r="C159" s="5" t="s">
        <v>7</v>
      </c>
      <c r="D159" s="6" t="str">
        <f t="shared" ref="D159:D160" si="29">HYPERLINK("https://mail.google.com/mail?extsrc=sync&amp;client=docs&amp;plid=ACUX6DM7WjD_3zVrlSjo09RvgUOUxjiDq-c4XUk", "")</f>
        <v/>
      </c>
      <c r="E159" s="6" t="str">
        <f>HYPERLINK("https://drive.google.com/file/d/1bE3D7c8pJYbcDZDKdDgFdSOBCATuEI05/view", "77497.jpg")</f>
        <v>77497.jpg</v>
      </c>
      <c r="F15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59" s="5"/>
    </row>
    <row r="160" ht="15.75" customHeight="1">
      <c r="A160" s="4">
        <v>45936.58398072916</v>
      </c>
      <c r="B160" s="4">
        <v>45917.02253472222</v>
      </c>
      <c r="C160" s="5" t="s">
        <v>7</v>
      </c>
      <c r="D160" s="6" t="str">
        <f t="shared" si="29"/>
        <v/>
      </c>
      <c r="E160" s="6" t="str">
        <f>HYPERLINK("https://drive.google.com/file/d/1LovAvDBoyltzz2_uZiVYdFB4R8OPfIgu/view", "1759784454489.pdf")</f>
        <v>1759784454489.pdf</v>
      </c>
      <c r="F16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0" s="5"/>
    </row>
    <row r="161" ht="15.75" customHeight="1">
      <c r="A161" s="4">
        <v>45936.5838959838</v>
      </c>
      <c r="B161" s="4">
        <v>45917.82752314815</v>
      </c>
      <c r="C161" s="5" t="s">
        <v>7</v>
      </c>
      <c r="D161" s="6" t="str">
        <f>HYPERLINK("https://mail.google.com/mail?extsrc=sync&amp;client=docs&amp;plid=ACUX6DN5sWlBbJj2zGXiIgcxMog-tLMYAaOK2Ok", "Nelson( the one that took the report she gave me her full information for any other needs that I have #1/2")</f>
        <v>Nelson( the one that took the report she gave me her full information for any other needs that I have #1/2</v>
      </c>
      <c r="E161" s="6" t="str">
        <f>HYPERLINK("https://drive.google.com/file/d/1NbIWMmN2euQrnQjigAYcczdASMMlWh09/view", "IMG_5019.JPG")</f>
        <v>IMG_5019.JPG</v>
      </c>
      <c r="F16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1" s="5"/>
    </row>
    <row r="162" ht="15.75" customHeight="1">
      <c r="A162" s="4">
        <v>45936.58389674769</v>
      </c>
      <c r="B162" s="4">
        <v>45917.82752314815</v>
      </c>
      <c r="C162" s="5" t="s">
        <v>7</v>
      </c>
      <c r="D162" s="6" t="str">
        <f>HYPERLINK("https://mail.google.com/mail?extsrc=sync&amp;client=docs&amp;plid=ACUX6DN5sWlBbJj2zGXiIgcxMog-tLMYAaOK2Ok", "Nelson( the one that took the report she gave me her full information for any other needs that I have #2/2")</f>
        <v>Nelson( the one that took the report she gave me her full information for any other needs that I have #2/2</v>
      </c>
      <c r="E162" s="6" t="str">
        <f>HYPERLINK("https://drive.google.com/file/d/1iNln-3_CBXfGLCNvIvD9g_DpQgeTxeI-/view", "IMG_5020.JPG")</f>
        <v>IMG_5020.JPG</v>
      </c>
      <c r="F16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2" s="5"/>
    </row>
    <row r="163" ht="15.75" customHeight="1">
      <c r="A163" s="4">
        <v>45936.58391800926</v>
      </c>
      <c r="B163" s="4">
        <v>45917.82752314815</v>
      </c>
      <c r="C163" s="5" t="s">
        <v>7</v>
      </c>
      <c r="D163" s="6" t="str">
        <f>HYPERLINK("https://mail.google.com/mail?extsrc=sync&amp;client=docs&amp;plid=ACUX6DN5sWlBbJj2zGXiIgcxMog-tLMYAaOK2Ok", "Nelson( the one that took the report she gave me her full information for any other needs that I have")</f>
        <v>Nelson( the one that took the report she gave me her full information for any other needs that I have</v>
      </c>
      <c r="E163" s="6" t="str">
        <f>HYPERLINK("https://drive.google.com/file/d/1WdofhlKWFTn98D78NGOkOtUvlbWLfnBH/view", "Nelson( the one that took the report she gave me her full information for any other needs that I have.pdf")</f>
        <v>Nelson( the one that took the report she gave me her full information for any other needs that I have.pdf</v>
      </c>
      <c r="F16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3" s="5"/>
    </row>
    <row r="164" ht="15.75" customHeight="1">
      <c r="A164" s="4">
        <v>45936.583815624996</v>
      </c>
      <c r="B164" s="4">
        <v>45916.68200231482</v>
      </c>
      <c r="C164" s="5" t="s">
        <v>7</v>
      </c>
      <c r="D164" s="6" t="str">
        <f>HYPERLINK("https://mail.google.com/mail?extsrc=sync&amp;client=docs&amp;plid=ACUX6DOJaP4ybOA6fw6ieapSKPKN8USfhWXUBbA", "And printing 3 copies of these ??? DV 109,110,100")</f>
        <v>And printing 3 copies of these ??? DV 109,110,100</v>
      </c>
      <c r="E164" s="6" t="str">
        <f>HYPERLINK("https://drive.google.com/file/d/1UoaVbIFmPDE1cf5gGBuanHh8r7tJ4bUE/view", "DV 109,110,100.pdf")</f>
        <v>DV 109,110,100.pdf</v>
      </c>
      <c r="F16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4" s="5"/>
    </row>
    <row r="165" ht="15.75" customHeight="1">
      <c r="A165" s="4">
        <v>45936.58379217592</v>
      </c>
      <c r="B165" s="4">
        <v>45917.5315625</v>
      </c>
      <c r="C165" s="5" t="s">
        <v>7</v>
      </c>
      <c r="D165" s="6" t="str">
        <f>HYPERLINK("https://mail.google.com/mail?extsrc=sync&amp;client=docs&amp;plid=ACUX6DPYCOe87gDnAvl9GYlnF3UeToLPUrIuoLk", "Rosemead found on Airbnb liars")</f>
        <v>Rosemead found on Airbnb liars</v>
      </c>
      <c r="E165" s="6" t="str">
        <f>HYPERLINK("https://drive.google.com/file/d/1VP4NCuYLmXFBhzQV6c0Ijp9DU8keCF9U/view", "Rosemead found on Airbnb liars.pdf")</f>
        <v>Rosemead found on Airbnb liars.pdf</v>
      </c>
      <c r="F16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5" s="5"/>
    </row>
    <row r="166" ht="15.75" customHeight="1">
      <c r="A166" s="4">
        <v>45936.58374479167</v>
      </c>
      <c r="B166" s="4">
        <v>45917.91678240741</v>
      </c>
      <c r="C166" s="5" t="s">
        <v>7</v>
      </c>
      <c r="D166" s="6" t="str">
        <f t="shared" ref="D166:D167" si="30">HYPERLINK("https://mail.google.com/mail?extsrc=sync&amp;client=docs&amp;plid=ACUX6DMpbloAfMO0pRO_TcNYrnLufIxHaS-FnVc", "This is the most recent he clocked my eye")</f>
        <v>This is the most recent he clocked my eye</v>
      </c>
      <c r="E166" s="6" t="str">
        <f>HYPERLINK("https://drive.google.com/file/d/1nB31Wvz7d6FSetKAGJ3PfDd-JjjfW9yD/view", "IMG_3355.jpg")</f>
        <v>IMG_3355.jpg</v>
      </c>
      <c r="F16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6" s="5"/>
    </row>
    <row r="167" ht="15.75" customHeight="1">
      <c r="A167" s="4">
        <v>45936.5837697338</v>
      </c>
      <c r="B167" s="4">
        <v>45917.91678240741</v>
      </c>
      <c r="C167" s="5" t="s">
        <v>7</v>
      </c>
      <c r="D167" s="6" t="str">
        <f t="shared" si="30"/>
        <v>This is the most recent he clocked my eye</v>
      </c>
      <c r="E167" s="6" t="str">
        <f>HYPERLINK("https://drive.google.com/file/d/1CKH39OJOtiS0lz5JE25Y_A3KzkX83flG/view", "This is the most recent he clocked my eye.pdf")</f>
        <v>This is the most recent he clocked my eye.pdf</v>
      </c>
      <c r="F16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7" s="5"/>
    </row>
    <row r="168" ht="15.75" customHeight="1">
      <c r="A168" s="4">
        <v>45936.58371478009</v>
      </c>
      <c r="B168" s="4">
        <v>45916.68131944444</v>
      </c>
      <c r="C168" s="5" t="s">
        <v>7</v>
      </c>
      <c r="D168" s="6" t="str">
        <f>HYPERLINK("https://mail.google.com/mail?extsrc=sync&amp;client=docs&amp;plid=ACUX6DOJZPiUbLzhROtlmqdZRlBZ-MnUw6Zfpco", "And or this one??!! DV 110")</f>
        <v>And or this one??!! DV 110</v>
      </c>
      <c r="E168" s="6" t="str">
        <f>HYPERLINK("https://drive.google.com/file/d/1_2YVa4P6dnwSTLl697uITne8mb8tXmnT/view", "DV 110.pdf")</f>
        <v>DV 110.pdf</v>
      </c>
      <c r="F16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8" s="5"/>
    </row>
    <row r="169" ht="15.75" customHeight="1">
      <c r="A169" s="4">
        <v>45936.58366726852</v>
      </c>
      <c r="B169" s="4">
        <v>45917.90079861111</v>
      </c>
      <c r="C169" s="5" t="s">
        <v>7</v>
      </c>
      <c r="D169" s="6" t="str">
        <f t="shared" ref="D169:D170" si="31">HYPERLINK("https://mail.google.com/mail?extsrc=sync&amp;client=docs&amp;plid=ACUX6DPbwa18CEymU1_RUkhXop7RVS8ci2ggFW4", "I told you, she said she’s not gonna stop working on this case she just texted me")</f>
        <v>I told you, she said she’s not gonna stop working on this case she just texted me</v>
      </c>
      <c r="E169" s="6" t="str">
        <f>HYPERLINK("https://drive.google.com/file/d/1AUgyZXzFEqiOjVvrivQmCMBCx8pqmPs2/view", "44464.jpg")</f>
        <v>44464.jpg</v>
      </c>
      <c r="F16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69" s="5"/>
    </row>
    <row r="170" ht="15.75" customHeight="1">
      <c r="A170" s="4">
        <v>45936.58369240741</v>
      </c>
      <c r="B170" s="4">
        <v>45917.90079861111</v>
      </c>
      <c r="C170" s="5" t="s">
        <v>7</v>
      </c>
      <c r="D170" s="6" t="str">
        <f t="shared" si="31"/>
        <v>I told you, she said she’s not gonna stop working on this case she just texted me</v>
      </c>
      <c r="E170" s="6" t="str">
        <f>HYPERLINK("https://drive.google.com/file/d/1A5W9jj9JLehQYRapGNO637UMTXligQBT/view", "I told you, she said she’s not gonna stop working on this case she just texted me.pdf")</f>
        <v>I told you, she said she’s not gonna stop working on this case she just texted me.pdf</v>
      </c>
      <c r="F17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0" s="5"/>
    </row>
    <row r="171" ht="15.75" customHeight="1">
      <c r="A171" s="4">
        <v>45936.583616874996</v>
      </c>
      <c r="B171" s="4">
        <v>45917.926307870366</v>
      </c>
      <c r="C171" s="5" t="s">
        <v>7</v>
      </c>
      <c r="D171" s="6" t="str">
        <f t="shared" ref="D171:D172" si="32">HYPERLINK("https://mail.google.com/mail?extsrc=sync&amp;client=docs&amp;plid=ACUX6DPUCSzyB2OPrOrM85kc5kXLM1dgwZ42fFg", "I’m about to make the call now to her. She wants more photos. Can you edit the date? To recent")</f>
        <v>I’m about to make the call now to her. She wants more photos. Can you edit the date? To recent</v>
      </c>
      <c r="E171" s="6" t="str">
        <f>HYPERLINK("https://drive.google.com/file/d/111TphtbLEWL7AWop_hmUqrdfaImK6DPY/view", "IMG_5209.jpg")</f>
        <v>IMG_5209.jpg</v>
      </c>
      <c r="F17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1" s="5"/>
    </row>
    <row r="172" ht="15.75" customHeight="1">
      <c r="A172" s="4">
        <v>45936.58364092592</v>
      </c>
      <c r="B172" s="4">
        <v>45917.926307870366</v>
      </c>
      <c r="C172" s="5" t="s">
        <v>7</v>
      </c>
      <c r="D172" s="6" t="str">
        <f t="shared" si="32"/>
        <v>I’m about to make the call now to her. She wants more photos. Can you edit the date? To recent</v>
      </c>
      <c r="E172" s="6" t="str">
        <f>HYPERLINK("https://drive.google.com/file/d/11A3ltzjrcanp5wK2e4zUN9FLehzjlqOc/view", "I’m about to make the call now to her. She wants more photos. Can you edit the date To recent.pdf")</f>
        <v>I’m about to make the call now to her. She wants more photos. Can you edit the date To recent.pdf</v>
      </c>
      <c r="F17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2" s="5"/>
    </row>
    <row r="173" ht="15.75" customHeight="1">
      <c r="A173" s="4">
        <v>45936.583584085645</v>
      </c>
      <c r="B173" s="4">
        <v>45916.55572916666</v>
      </c>
      <c r="C173" s="5" t="s">
        <v>7</v>
      </c>
      <c r="D173" s="6" t="str">
        <f>HYPERLINK("https://mail.google.com/mail?extsrc=sync&amp;client=docs&amp;plid=ACUX6DOho4PeTboADEmN9wEHEFE1fKptbJwwGrU", "Fwd: Rejected Filing Notification for filing on case 20863356")</f>
        <v>Fwd: Rejected Filing Notification for filing on case 20863356</v>
      </c>
      <c r="E173" s="6" t="str">
        <f>HYPERLINK("https://drive.google.com/file/d/1DVQL1HmZzXkd4lxctP66e1Dnsx_pOOeo/view", "Fwd Rejected Filing Notification for filing on case 20863356.pdf")</f>
        <v>Fwd Rejected Filing Notification for filing on case 20863356.pdf</v>
      </c>
      <c r="F17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3" s="5"/>
    </row>
    <row r="174" ht="15.75" customHeight="1">
      <c r="A174" s="4">
        <v>45936.58356165509</v>
      </c>
      <c r="B174" s="4">
        <v>45915.59085648148</v>
      </c>
      <c r="C174" s="5" t="s">
        <v>7</v>
      </c>
      <c r="D174" s="6" t="str">
        <f>HYPERLINK("https://mail.google.com/mail?extsrc=sync&amp;client=docs&amp;plid=ACUX6DMhSroi4og_7LRIUfgIjX7rHpqOt2LV67E", "Essential Questions for JPL Process Service Regarding Restraining Order Case 25PDRO01246")</f>
        <v>Essential Questions for JPL Process Service Regarding Restraining Order Case 25PDRO01246</v>
      </c>
      <c r="E174" s="6" t="str">
        <f>HYPERLINK("https://drive.google.com/file/d/1k8SxeLImjBS6D1vdr0b9tMdw0xHWuXBq/view", "Essential Questions for JPL Process Service Regarding Restraining Order Case 25PDRO01246.pdf")</f>
        <v>Essential Questions for JPL Process Service Regarding Restraining Order Case 25PDRO01246.pdf</v>
      </c>
      <c r="F17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4" s="5"/>
    </row>
    <row r="175" ht="15.75" customHeight="1">
      <c r="A175" s="4">
        <v>45936.58353887731</v>
      </c>
      <c r="B175" s="4">
        <v>45915.71354166667</v>
      </c>
      <c r="C175" s="5" t="s">
        <v>7</v>
      </c>
      <c r="D175" s="6" t="str">
        <f>HYPERLINK("https://mail.google.com/mail?extsrc=sync&amp;client=docs&amp;plid=ACUX6DMdipuxAbriRsAkdWFc2O5rYWKbJ39qQ0g", "Fwd: Notice of Ex Parte Application – Judy Brakebill Jones 2008 Revocable Trust")</f>
        <v>Fwd: Notice of Ex Parte Application – Judy Brakebill Jones 2008 Revocable Trust</v>
      </c>
      <c r="E175" s="6" t="str">
        <f>HYPERLINK("https://drive.google.com/file/d/1ThxjhHAFpX22EhZtNmga1hu98nfxJGzZ/view", "Fwd Notice of Ex Parte Application – Judy Brakebill Jones 2008 Revocable Trust.pdf")</f>
        <v>Fwd Notice of Ex Parte Application – Judy Brakebill Jones 2008 Revocable Trust.pdf</v>
      </c>
      <c r="F17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5" s="5"/>
    </row>
    <row r="176" ht="15.75" customHeight="1">
      <c r="A176" s="4">
        <v>45936.58349107639</v>
      </c>
      <c r="B176" s="4">
        <v>45918.12884259259</v>
      </c>
      <c r="C176" s="5" t="s">
        <v>7</v>
      </c>
      <c r="D176" s="6" t="str">
        <f t="shared" ref="D176:D177" si="33">HYPERLINK("https://mail.google.com/mail?extsrc=sync&amp;client=docs&amp;plid=ACUX6DMTwJsOQ5Bc72iXze2f6yWjeCWUurqNsVU", "Just added this to the deputy’s system")</f>
        <v>Just added this to the deputy’s system</v>
      </c>
      <c r="E176" s="6" t="str">
        <f>HYPERLINK("https://drive.google.com/file/d/1So6nzK7ZETzAiSrW2dGI5Vl3R759zacT/view", "42230.jpg")</f>
        <v>42230.jpg</v>
      </c>
      <c r="F17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6" s="5"/>
    </row>
    <row r="177" ht="15.75" customHeight="1">
      <c r="A177" s="4">
        <v>45936.583514259255</v>
      </c>
      <c r="B177" s="4">
        <v>45918.12884259259</v>
      </c>
      <c r="C177" s="5" t="s">
        <v>7</v>
      </c>
      <c r="D177" s="6" t="str">
        <f t="shared" si="33"/>
        <v>Just added this to the deputy’s system</v>
      </c>
      <c r="E177" s="6" t="str">
        <f>HYPERLINK("https://drive.google.com/file/d/1IUG8seu7x6LyjnJo-I5glJujCvcmggGd/view", "Just added this to the deputy’s system.pdf")</f>
        <v>Just added this to the deputy’s system.pdf</v>
      </c>
      <c r="F17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7" s="5"/>
    </row>
    <row r="178" ht="15.75" customHeight="1">
      <c r="A178" s="4">
        <v>45936.5834415625</v>
      </c>
      <c r="B178" s="4">
        <v>45917.521516203706</v>
      </c>
      <c r="C178" s="5" t="s">
        <v>7</v>
      </c>
      <c r="D178" s="6" t="str">
        <f t="shared" ref="D178:D179" si="34">HYPERLINK("https://mail.google.com/mail?extsrc=sync&amp;client=docs&amp;plid=ACUX6DNBf4VVlJa6bCblbpLOveB3AnvCKvpu5yE", "Use to have abs……not important")</f>
        <v>Use to have abs……not important</v>
      </c>
      <c r="E178" s="6" t="str">
        <f>HYPERLINK("https://drive.google.com/file/d/1XJSCTlR-J4kcZQ63supmkIOcT7NQn_rV/view", "IMG_1067.jpg")</f>
        <v>IMG_1067.jpg</v>
      </c>
      <c r="F17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8" s="5"/>
    </row>
    <row r="179" ht="15.75" customHeight="1">
      <c r="A179" s="4">
        <v>45936.58346349537</v>
      </c>
      <c r="B179" s="4">
        <v>45917.521516203706</v>
      </c>
      <c r="C179" s="5" t="s">
        <v>7</v>
      </c>
      <c r="D179" s="6" t="str">
        <f t="shared" si="34"/>
        <v>Use to have abs……not important</v>
      </c>
      <c r="E179" s="6" t="str">
        <f>HYPERLINK("https://drive.google.com/file/d/1Plik98VCumgb2Dj5hjIbDVw73rLGbgOs/view", "Use to have abs……not important.pdf")</f>
        <v>Use to have abs……not important.pdf</v>
      </c>
      <c r="F17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79" s="5"/>
    </row>
    <row r="180" ht="15.75" customHeight="1">
      <c r="A180" s="4">
        <v>45936.58337299769</v>
      </c>
      <c r="B180" s="4">
        <v>45918.12671296296</v>
      </c>
      <c r="C180" s="5" t="s">
        <v>7</v>
      </c>
      <c r="D180" s="6" t="str">
        <f>HYPERLINK("https://mail.google.com/mail?extsrc=sync&amp;client=docs&amp;plid=ACUX6DMuWGjIJAhF_IODNFklWUXCimvh_BKOSMA", "Mia’s teachers right now I’m in communication #1/3")</f>
        <v>Mia’s teachers right now I’m in communication #1/3</v>
      </c>
      <c r="E180" s="6" t="str">
        <f>HYPERLINK("https://drive.google.com/file/d/1RYasm-6uLVSNQGedsBL52qEkj_mAFnfq/view", "IMG_0084.png")</f>
        <v>IMG_0084.png</v>
      </c>
      <c r="F18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0" s="5"/>
    </row>
    <row r="181" ht="15.75" customHeight="1">
      <c r="A181" s="4">
        <v>45936.58337399305</v>
      </c>
      <c r="B181" s="4">
        <v>45918.12671296296</v>
      </c>
      <c r="C181" s="5" t="s">
        <v>7</v>
      </c>
      <c r="D181" s="6" t="str">
        <f>HYPERLINK("https://mail.google.com/mail?extsrc=sync&amp;client=docs&amp;plid=ACUX6DMuWGjIJAhF_IODNFklWUXCimvh_BKOSMA", "Mia’s teachers right now I’m in communication #2/3")</f>
        <v>Mia’s teachers right now I’m in communication #2/3</v>
      </c>
      <c r="E181" s="6" t="str">
        <f>HYPERLINK("https://drive.google.com/file/d/1rniJ9b4hgQ8fiLKlsHPOkQ_vwv-trojJ/view", "IMG_0083.png")</f>
        <v>IMG_0083.png</v>
      </c>
      <c r="F18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1" s="5"/>
    </row>
    <row r="182" ht="15.75" customHeight="1">
      <c r="A182" s="4">
        <v>45936.58337400463</v>
      </c>
      <c r="B182" s="4">
        <v>45918.12671296296</v>
      </c>
      <c r="C182" s="5" t="s">
        <v>7</v>
      </c>
      <c r="D182" s="6" t="str">
        <f>HYPERLINK("https://mail.google.com/mail?extsrc=sync&amp;client=docs&amp;plid=ACUX6DMuWGjIJAhF_IODNFklWUXCimvh_BKOSMA", "Mia’s teachers right now I’m in communication #3/3")</f>
        <v>Mia’s teachers right now I’m in communication #3/3</v>
      </c>
      <c r="E182" s="6" t="str">
        <f>HYPERLINK("https://drive.google.com/file/d/13bkaU4aQo_aYSpbXMupGibo7Tt3znJna/view", "IMG_0082.png")</f>
        <v>IMG_0082.png</v>
      </c>
      <c r="F18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2" s="5"/>
    </row>
    <row r="183" ht="15.75" customHeight="1">
      <c r="A183" s="4">
        <v>45936.583419675924</v>
      </c>
      <c r="B183" s="4">
        <v>45918.12671296296</v>
      </c>
      <c r="C183" s="5" t="s">
        <v>7</v>
      </c>
      <c r="D183" s="6" t="str">
        <f>HYPERLINK("https://mail.google.com/mail?extsrc=sync&amp;client=docs&amp;plid=ACUX6DMuWGjIJAhF_IODNFklWUXCimvh_BKOSMA", "Mia’s teachers right now I’m in communication")</f>
        <v>Mia’s teachers right now I’m in communication</v>
      </c>
      <c r="E183" s="6" t="str">
        <f>HYPERLINK("https://drive.google.com/file/d/1IBL8C_DUprLNZ6yZvOLNLvP4mMhNmgsd/view", "Mia’s teachers right now I’m in communication.pdf")</f>
        <v>Mia’s teachers right now I’m in communication.pdf</v>
      </c>
      <c r="F18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3" s="5"/>
    </row>
    <row r="184" ht="15.75" customHeight="1">
      <c r="A184" s="4">
        <v>45936.58329473379</v>
      </c>
      <c r="B184" s="4">
        <v>45916.78984953703</v>
      </c>
      <c r="C184" s="5" t="s">
        <v>7</v>
      </c>
      <c r="D184" s="6" t="str">
        <f>HYPERLINK("https://mail.google.com/mail?extsrc=sync&amp;client=docs&amp;plid=ACUX6DNX9PqG8p21YGPtVQMeGZCmgZrWiErh0bk", "Fwd: Submitted Filing Notification for Case No. 20880241")</f>
        <v>Fwd: Submitted Filing Notification for Case No. 20880241</v>
      </c>
      <c r="E184" s="6" t="str">
        <f>HYPERLINK("https://drive.google.com/file/d/1FZwK6AAREnfPxSn9z-EBxPwGRZ6NQpQ8/view", "Fwd Submitted Filing Notification for Case No. 20880241.pdf")</f>
        <v>Fwd Submitted Filing Notification for Case No. 20880241.pdf</v>
      </c>
      <c r="F18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4" s="5"/>
    </row>
    <row r="185" ht="15.75" customHeight="1">
      <c r="A185" s="4">
        <v>45936.58321859954</v>
      </c>
      <c r="B185" s="4">
        <v>45915.56226851852</v>
      </c>
      <c r="C185" s="5" t="s">
        <v>8</v>
      </c>
      <c r="D185" s="6" t="str">
        <f>HYPERLINK("https://mail.google.com/mail?extsrc=sync&amp;client=docs&amp;plid=ACUX6DNJid40ybTKUuSlNvZwFiVFNM90CGY13CI", "Fwd: Income Verification #1/6")</f>
        <v>Fwd: Income Verification #1/6</v>
      </c>
      <c r="E185" s="6" t="str">
        <f>HYPERLINK("https://drive.google.com/file/d/1VYuqexvu0G8FsUJs-2ZzAkit-_VTkHdv/view", "IMG_0210.png")</f>
        <v>IMG_0210.png</v>
      </c>
      <c r="F18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5" s="5"/>
    </row>
    <row r="186" ht="15.75" customHeight="1">
      <c r="A186" s="4">
        <v>45936.58321956018</v>
      </c>
      <c r="B186" s="4">
        <v>45915.56226851852</v>
      </c>
      <c r="C186" s="5" t="s">
        <v>8</v>
      </c>
      <c r="D186" s="6" t="str">
        <f>HYPERLINK("https://mail.google.com/mail?extsrc=sync&amp;client=docs&amp;plid=ACUX6DNJid40ybTKUuSlNvZwFiVFNM90CGY13CI", "Fwd: Income Verification #2/6")</f>
        <v>Fwd: Income Verification #2/6</v>
      </c>
      <c r="E186" s="6" t="str">
        <f>HYPERLINK("https://drive.google.com/file/d/1wK_72P1f14gqhR75BO_EAmqG55D1wjO7/view", "IMG_0202.jpeg")</f>
        <v>IMG_0202.jpeg</v>
      </c>
      <c r="F18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6" s="5"/>
    </row>
    <row r="187" ht="15.75" customHeight="1">
      <c r="A187" s="4">
        <v>45936.58321957176</v>
      </c>
      <c r="B187" s="4">
        <v>45915.56226851852</v>
      </c>
      <c r="C187" s="5" t="s">
        <v>8</v>
      </c>
      <c r="D187" s="6" t="str">
        <f>HYPERLINK("https://mail.google.com/mail?extsrc=sync&amp;client=docs&amp;plid=ACUX6DNJid40ybTKUuSlNvZwFiVFNM90CGY13CI", "Fwd: Income Verification #3/6")</f>
        <v>Fwd: Income Verification #3/6</v>
      </c>
      <c r="E187" s="6" t="str">
        <f>HYPERLINK("https://drive.google.com/file/d/17KDQdELBoeOh_cM8yTuPGIf-zH9UMzMh/view", "IMG_0206.jpeg")</f>
        <v>IMG_0206.jpeg</v>
      </c>
      <c r="F18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7" s="5"/>
    </row>
    <row r="188" ht="15.75" customHeight="1">
      <c r="A188" s="4">
        <v>45936.583219583335</v>
      </c>
      <c r="B188" s="4">
        <v>45915.56226851852</v>
      </c>
      <c r="C188" s="5" t="s">
        <v>8</v>
      </c>
      <c r="D188" s="6" t="str">
        <f>HYPERLINK("https://mail.google.com/mail?extsrc=sync&amp;client=docs&amp;plid=ACUX6DNJid40ybTKUuSlNvZwFiVFNM90CGY13CI", "Fwd: Income Verification #4/6")</f>
        <v>Fwd: Income Verification #4/6</v>
      </c>
      <c r="E188" s="6" t="str">
        <f>HYPERLINK("https://drive.google.com/file/d/133U45ZeZkapmJKw_vAqbQ25YqpT7QNoG/view", "IMG_0207.png")</f>
        <v>IMG_0207.png</v>
      </c>
      <c r="F18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8" s="5"/>
    </row>
    <row r="189" ht="15.75" customHeight="1">
      <c r="A189" s="4">
        <v>45936.583219594904</v>
      </c>
      <c r="B189" s="4">
        <v>45915.56226851852</v>
      </c>
      <c r="C189" s="5" t="s">
        <v>8</v>
      </c>
      <c r="D189" s="6" t="str">
        <f>HYPERLINK("https://mail.google.com/mail?extsrc=sync&amp;client=docs&amp;plid=ACUX6DNJid40ybTKUuSlNvZwFiVFNM90CGY13CI", "Fwd: Income Verification #5/6")</f>
        <v>Fwd: Income Verification #5/6</v>
      </c>
      <c r="E189" s="6" t="str">
        <f>HYPERLINK("https://drive.google.com/file/d/1I0C76yFqTAcSn_v8qK0_wWj8bAk4xmCV/view", "IMG_0208.png")</f>
        <v>IMG_0208.png</v>
      </c>
      <c r="F18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89" s="5"/>
    </row>
    <row r="190" ht="15.75" customHeight="1">
      <c r="A190" s="4">
        <v>45936.583219594904</v>
      </c>
      <c r="B190" s="4">
        <v>45915.56226851852</v>
      </c>
      <c r="C190" s="5" t="s">
        <v>8</v>
      </c>
      <c r="D190" s="6" t="str">
        <f>HYPERLINK("https://mail.google.com/mail?extsrc=sync&amp;client=docs&amp;plid=ACUX6DNJid40ybTKUuSlNvZwFiVFNM90CGY13CI", "Fwd: Income Verification #6/6")</f>
        <v>Fwd: Income Verification #6/6</v>
      </c>
      <c r="E190" s="6" t="str">
        <f>HYPERLINK("https://drive.google.com/file/d/1j8bVl2d-awtXqTTdGCR4SX0aIJc2OR7Y/view", "IMG_0209.jpeg")</f>
        <v>IMG_0209.jpeg</v>
      </c>
      <c r="F19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0" s="5"/>
    </row>
    <row r="191" ht="15.75" customHeight="1">
      <c r="A191" s="4">
        <v>45936.58324626157</v>
      </c>
      <c r="B191" s="4">
        <v>45915.56226851852</v>
      </c>
      <c r="C191" s="5" t="s">
        <v>8</v>
      </c>
      <c r="D191" s="6" t="str">
        <f>HYPERLINK("https://mail.google.com/mail?extsrc=sync&amp;client=docs&amp;plid=ACUX6DNJid40ybTKUuSlNvZwFiVFNM90CGY13CI", "Fwd: Income Verification")</f>
        <v>Fwd: Income Verification</v>
      </c>
      <c r="E191" s="6" t="str">
        <f>HYPERLINK("https://drive.google.com/file/d/1jMRvOS_S1Z7Uq1wIA4G68YaUEgI-Q0uk/view", "Fwd Income Verification.pdf")</f>
        <v>Fwd Income Verification.pdf</v>
      </c>
      <c r="F19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1" s="5"/>
    </row>
    <row r="192" ht="15.75" customHeight="1">
      <c r="A192" s="4">
        <v>45936.58303165509</v>
      </c>
      <c r="B192" s="4">
        <v>45917.42679398148</v>
      </c>
      <c r="C192" s="5" t="s">
        <v>8</v>
      </c>
      <c r="D192" s="6" t="str">
        <f>HYPERLINK("https://mail.google.com/mail?extsrc=sync&amp;client=docs&amp;plid=ACUX6DOQ0sBO-B2m2Ls5X_kbFuXjexSczPiMFSg", "voicemail-45620822848 #1/2")</f>
        <v>voicemail-45620822848 #1/2</v>
      </c>
      <c r="E192" s="6" t="str">
        <f>HYPERLINK("https://drive.google.com/file/d/1Z6OlBfT5j2BIK8Gq2cpBdwG1aUtrs3Cu/view", "voicemail-45620822848.m4a")</f>
        <v>voicemail-45620822848.m4a</v>
      </c>
      <c r="F19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2" s="5"/>
    </row>
    <row r="193" ht="15.75" customHeight="1">
      <c r="A193" s="4">
        <v>45936.5830458912</v>
      </c>
      <c r="B193" s="4">
        <v>45917.42679398148</v>
      </c>
      <c r="C193" s="5" t="s">
        <v>8</v>
      </c>
      <c r="D193" s="6" t="str">
        <f>HYPERLINK("https://mail.google.com/mail?extsrc=sync&amp;client=docs&amp;plid=ACUX6DOQ0sBO-B2m2Ls5X_kbFuXjexSczPiMFSg", "voicemail-45620822848 #2/2")</f>
        <v>voicemail-45620822848 #2/2</v>
      </c>
      <c r="E193" s="6" t="str">
        <f>HYPERLINK("https://drive.google.com/file/d/1nLMCUPlLeyg1dq0sUkr_pg1MvVdSLRAm/view", "voicemail-45620822848.txt")</f>
        <v>voicemail-45620822848.txt</v>
      </c>
      <c r="F19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3" s="5"/>
    </row>
    <row r="194" ht="15.75" customHeight="1">
      <c r="A194" s="4">
        <v>45936.583066770836</v>
      </c>
      <c r="B194" s="4">
        <v>45917.42679398148</v>
      </c>
      <c r="C194" s="5" t="s">
        <v>8</v>
      </c>
      <c r="D194" s="6" t="str">
        <f>HYPERLINK("https://mail.google.com/mail?extsrc=sync&amp;client=docs&amp;plid=ACUX6DOQ0sBO-B2m2Ls5X_kbFuXjexSczPiMFSg", "voicemail-45620822848")</f>
        <v>voicemail-45620822848</v>
      </c>
      <c r="E194" s="6" t="str">
        <f>HYPERLINK("https://drive.google.com/file/d/1MD609mwxQSvZRhLABeVlkNUef36VCLsT/view", "voicemail-45620822848.pdf")</f>
        <v>voicemail-45620822848.pdf</v>
      </c>
      <c r="F19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4" s="5"/>
    </row>
    <row r="195" ht="15.75" customHeight="1">
      <c r="A195" s="4">
        <v>45936.58290188658</v>
      </c>
      <c r="B195" s="4">
        <v>45917.62164351852</v>
      </c>
      <c r="C195" s="5" t="s">
        <v>7</v>
      </c>
      <c r="D195" s="6" t="str">
        <f>HYPERLINK("https://mail.google.com/mail?extsrc=sync&amp;client=docs&amp;plid=ACUX6DNpsAGIt_eJ905STiQi_frAxHNHehCdSXs", "Fwd: Undeliverable: URGENT: DVRO Served – Request CLETS Entry + Directed Patrol – Sayegh v. Sayegh, 25PDRO01246 – Dept L 9/18 08:30 #1/5")</f>
        <v>Fwd: Undeliverable: URGENT: DVRO Served – Request CLETS Entry + Directed Patrol – Sayegh v. Sayegh, 25PDRO01246 – Dept L 9/18 08:30 #1/5</v>
      </c>
      <c r="E195" s="6" t="str">
        <f>HYPERLINK("https://drive.google.com/file/d/1tZA0nw3EEqpeWpHg2tz88B2XQnW7KJrj/view", "ADDENDUM TO SUPPLEMENTAL DECLARATION OF NUHA SAYEGH IN SUPPORT OF EX PARTE APPLICATION AND IN OPPOSITION TO RESPONDENT'S EX PARTE APPLICATION.pdf")</f>
        <v>ADDENDUM TO SUPPLEMENTAL DECLARATION OF NUHA SAYEGH IN SUPPORT OF EX PARTE APPLICATION AND IN OPPOSITION TO RESPONDENT'S EX PARTE APPLICATION.pdf</v>
      </c>
      <c r="F19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5" s="5"/>
    </row>
    <row r="196" ht="15.75" customHeight="1">
      <c r="A196" s="4">
        <v>45936.582901898146</v>
      </c>
      <c r="B196" s="4">
        <v>45917.62164351852</v>
      </c>
      <c r="C196" s="5" t="s">
        <v>7</v>
      </c>
      <c r="D196" s="6" t="str">
        <f>HYPERLINK("https://mail.google.com/mail?extsrc=sync&amp;client=docs&amp;plid=ACUX6DNpsAGIt_eJ905STiQi_frAxHNHehCdSXs", "Fwd: Undeliverable: URGENT: DVRO Served – Request CLETS Entry + Directed Patrol – Sayegh v. Sayegh, 25PDRO01246 – Dept L 9/18 08:30 #2/5")</f>
        <v>Fwd: Undeliverable: URGENT: DVRO Served – Request CLETS Entry + Directed Patrol – Sayegh v. Sayegh, 25PDRO01246 – Dept L 9/18 08:30 #2/5</v>
      </c>
      <c r="E196" s="6" t="str">
        <f>HYPERLINK("https://drive.google.com/file/d/19DvTRFaZ6yB4UWukSVA6wMfr53n5Xug3/view", "The Filed Proof of Personal Service (Form DV-200).pdf")</f>
        <v>The Filed Proof of Personal Service (Form DV-200).pdf</v>
      </c>
      <c r="F19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6" s="5"/>
    </row>
    <row r="197" ht="15.75" customHeight="1">
      <c r="A197" s="4">
        <v>45936.58290190972</v>
      </c>
      <c r="B197" s="4">
        <v>45917.62164351852</v>
      </c>
      <c r="C197" s="5" t="s">
        <v>7</v>
      </c>
      <c r="D197" s="6" t="str">
        <f>HYPERLINK("https://mail.google.com/mail?extsrc=sync&amp;client=docs&amp;plid=ACUX6DNpsAGIt_eJ905STiQi_frAxHNHehCdSXs", "Fwd: Undeliverable: URGENT: DVRO Served – Request CLETS Entry + Directed Patrol – Sayegh v. Sayegh, 25PDRO01246 – Dept L 9/18 08:30 #3/5")</f>
        <v>Fwd: Undeliverable: URGENT: DVRO Served – Request CLETS Entry + Directed Patrol – Sayegh v. Sayegh, 25PDRO01246 – Dept L 9/18 08:30 #3/5</v>
      </c>
      <c r="E197" s="6" t="str">
        <f>HYPERLINK("https://drive.google.com/file/d/19KTKVyTRQmY6U_N8yqdkOw_xmdwJPFhx/view", "DV 109,110,100.pdf")</f>
        <v>DV 109,110,100.pdf</v>
      </c>
      <c r="F19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7" s="5"/>
    </row>
    <row r="198" ht="15.75" customHeight="1">
      <c r="A198" s="4">
        <v>45936.5829019213</v>
      </c>
      <c r="B198" s="4">
        <v>45917.62164351852</v>
      </c>
      <c r="C198" s="5" t="s">
        <v>7</v>
      </c>
      <c r="D198" s="6" t="str">
        <f>HYPERLINK("https://mail.google.com/mail?extsrc=sync&amp;client=docs&amp;plid=ACUX6DNpsAGIt_eJ905STiQi_frAxHNHehCdSXs", "Fwd: Undeliverable: URGENT: DVRO Served – Request CLETS Entry + Directed Patrol – Sayegh v. Sayegh, 25PDRO01246 – Dept L 9/18 08:30 #4/5")</f>
        <v>Fwd: Undeliverable: URGENT: DVRO Served – Request CLETS Entry + Directed Patrol – Sayegh v. Sayegh, 25PDRO01246 – Dept L 9/18 08:30 #4/5</v>
      </c>
      <c r="E198" s="6" t="str">
        <f>HYPERLINK("https://drive.google.com/file/d/1a9m9-mfmBV_8qIbfwednz1jdyMc8FbXp/view", "Exhibit B_Prohibited Contact.pdf")</f>
        <v>Exhibit B_Prohibited Contact.pdf</v>
      </c>
      <c r="F19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8" s="5"/>
    </row>
    <row r="199" ht="15.75" customHeight="1">
      <c r="A199" s="4">
        <v>45936.58290194444</v>
      </c>
      <c r="B199" s="4">
        <v>45917.62164351852</v>
      </c>
      <c r="C199" s="5" t="s">
        <v>7</v>
      </c>
      <c r="D199" s="6" t="str">
        <f>HYPERLINK("https://mail.google.com/mail?extsrc=sync&amp;client=docs&amp;plid=ACUX6DNpsAGIt_eJ905STiQi_frAxHNHehCdSXs", "Fwd: Undeliverable: URGENT: DVRO Served – Request CLETS Entry + Directed Patrol – Sayegh v. Sayegh, 25PDRO01246 – Dept L 9/18 08:30 #5/5")</f>
        <v>Fwd: Undeliverable: URGENT: DVRO Served – Request CLETS Entry + Directed Patrol – Sayegh v. Sayegh, 25PDRO01246 – Dept L 9/18 08:30 #5/5</v>
      </c>
      <c r="E199" s="6" t="str">
        <f>HYPERLINK("https://drive.google.com/file/d/123072n_X-E5qC_ewlLvCJcs7Nis3hWSQ/view", "Exhibit C_Photo of the lock-out and deadbolt.pdf")</f>
        <v>Exhibit C_Photo of the lock-out and deadbolt.pdf</v>
      </c>
      <c r="F19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199" s="5"/>
    </row>
    <row r="200" ht="15.75" customHeight="1">
      <c r="A200" s="4">
        <v>45936.58273230324</v>
      </c>
      <c r="B200" s="4">
        <v>45917.02283564815</v>
      </c>
      <c r="C200" s="5" t="s">
        <v>7</v>
      </c>
      <c r="D200" s="6" t="str">
        <f t="shared" ref="D200:D201" si="35">HYPERLINK("https://mail.google.com/mail?extsrc=sync&amp;client=docs&amp;plid=ACUX6DOgOeQj2FEuG3fJbf58jlY1yrpOODkVsW0", "8:41 PM he called me twice. I did didn’t see this calls yesterday.")</f>
        <v>8:41 PM he called me twice. I did didn’t see this calls yesterday.</v>
      </c>
      <c r="E200" s="6" t="str">
        <f>HYPERLINK("https://drive.google.com/file/d/1iKx2dknqaiv3Hy-J3bDQKBShipg2-Iql/view", "39960.jpg")</f>
        <v>39960.jpg</v>
      </c>
      <c r="F20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0" s="5"/>
    </row>
    <row r="201" ht="15.75" customHeight="1">
      <c r="A201" s="4">
        <v>45936.58278376157</v>
      </c>
      <c r="B201" s="4">
        <v>45917.02283564815</v>
      </c>
      <c r="C201" s="5" t="s">
        <v>7</v>
      </c>
      <c r="D201" s="6" t="str">
        <f t="shared" si="35"/>
        <v>8:41 PM he called me twice. I did didn’t see this calls yesterday.</v>
      </c>
      <c r="E201" s="6" t="str">
        <f>HYPERLINK("https://drive.google.com/file/d/1i51fdxZL2AWURRyO7NDnwccNJuB-Cmfb/view", "841 PM he called me twice. I did didn’t see this calls yesterday..pdf")</f>
        <v>841 PM he called me twice. I did didn’t see this calls yesterday..pdf</v>
      </c>
      <c r="F20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1" s="5"/>
    </row>
    <row r="202" ht="15.75" customHeight="1">
      <c r="A202" s="4">
        <v>45936.58270630787</v>
      </c>
      <c r="B202" s="4">
        <v>45918.06317129629</v>
      </c>
      <c r="C202" s="5" t="s">
        <v>8</v>
      </c>
      <c r="D202" s="6" t="str">
        <f>HYPERLINK("https://mail.google.com/mail?extsrc=sync&amp;client=docs&amp;plid=ACUX6DPikMw548XPJ823sDPiobg6XPW2YYuQe8w", "Fwd: absence must be printed")</f>
        <v>Fwd: absence must be printed</v>
      </c>
      <c r="E202" s="6" t="str">
        <f>HYPERLINK("https://drive.google.com/file/d/1JlaoY6plZWh-NLsWjSWU0Qnd2tA3ekfD/view", "Fwd absence must be printed.pdf")</f>
        <v>Fwd absence must be printed.pdf</v>
      </c>
      <c r="F20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2" s="5"/>
    </row>
    <row r="203" ht="15.75" customHeight="1">
      <c r="A203" s="4">
        <v>45936.58268238426</v>
      </c>
      <c r="B203" s="4">
        <v>45917.48668981482</v>
      </c>
      <c r="C203" s="5" t="s">
        <v>7</v>
      </c>
      <c r="D203" s="6" t="str">
        <f>HYPERLINK("https://mail.google.com/mail?extsrc=sync&amp;client=docs&amp;plid=ACUX6DMZbKcGentgIi41rE1rL0ByiKbDdIcvj2Y", "")</f>
        <v/>
      </c>
      <c r="E203" s="6" t="str">
        <f>HYPERLINK("https://drive.google.com/file/d/1Vc9KkOilCwuSpO3EKZ8ESLOE9BvCrEvs/view", "1759784342466.pdf")</f>
        <v>1759784342466.pdf</v>
      </c>
      <c r="F20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3" s="5"/>
    </row>
    <row r="204" ht="15.75" customHeight="1">
      <c r="A204" s="4">
        <v>45936.58265790509</v>
      </c>
      <c r="B204" s="4">
        <v>45917.63863425926</v>
      </c>
      <c r="C204" s="5" t="s">
        <v>7</v>
      </c>
      <c r="D204" s="6" t="str">
        <f>HYPERLINK("https://mail.google.com/mail?extsrc=sync&amp;client=docs&amp;plid=ACUX6DMVJkecokY-cpSmNZpAt8r_Pzuyjfo66fU", "Fwd: Automatic reply: New Entry: Contact Us - Altadena Station")</f>
        <v>Fwd: Automatic reply: New Entry: Contact Us - Altadena Station</v>
      </c>
      <c r="E204" s="6" t="str">
        <f>HYPERLINK("https://drive.google.com/file/d/1EmYR7SKJLPWDmRAIZjLsPT1Bqtl16t-Q/view", "Fwd Automatic reply New Entry Contact Us - Altadena Station.pdf")</f>
        <v>Fwd Automatic reply New Entry Contact Us - Altadena Station.pdf</v>
      </c>
      <c r="F20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4" s="5"/>
    </row>
    <row r="205" ht="15.75" customHeight="1">
      <c r="A205" s="4">
        <v>45936.58263518519</v>
      </c>
      <c r="B205" s="4">
        <v>45916.656064814815</v>
      </c>
      <c r="C205" s="5" t="s">
        <v>7</v>
      </c>
      <c r="D205" s="6" t="str">
        <f>HYPERLINK("https://mail.google.com/mail?extsrc=sync&amp;client=docs&amp;plid=ACUX6DPXZ9VIh78YA9gwTlQ_6MHU1rFo7cU4trM", "ERIC I AM DYING TO JUST COPY PASTE ON TEXT TO MY FATHER AND SAY WHOS EATING WHO ALIVE BABA??!! Fwd: Submitted Filing Notification for Case No. 20877150")</f>
        <v>ERIC I AM DYING TO JUST COPY PASTE ON TEXT TO MY FATHER AND SAY WHOS EATING WHO ALIVE BABA??!! Fwd: Submitted Filing Notification for Case No. 20877150</v>
      </c>
      <c r="E205" s="6" t="str">
        <f>HYPERLINK("https://drive.google.com/file/d/1siWhz-mSXgbbHlbwqcv0mz5fGJyQK1Xn/view", "ERIC I AM DYING TO JUST COPY PASTE ON TEXT TO MY FATHER AND SAY WHOS EATING WHO ALIVE BABA!! Fwd Submitted Filing Notification for Case No. 20877150.pdf")</f>
        <v>ERIC I AM DYING TO JUST COPY PASTE ON TEXT TO MY FATHER AND SAY WHOS EATING WHO ALIVE BABA!! Fwd Submitted Filing Notification for Case No. 20877150.pdf</v>
      </c>
      <c r="F20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5" s="5"/>
    </row>
    <row r="206" ht="15.75" customHeight="1">
      <c r="A206" s="4">
        <v>45936.58261025463</v>
      </c>
      <c r="B206" s="4">
        <v>45917.59798611111</v>
      </c>
      <c r="C206" s="5" t="s">
        <v>7</v>
      </c>
      <c r="D206" s="6" t="str">
        <f>HYPERLINK("https://mail.google.com/mail?extsrc=sync&amp;client=docs&amp;plid=ACUX6DOaHARo2gxiugMEpwz4q92nkm9bus0h4Uc", "Fwd: Submitted Filing Notification for Case No. 25PDRO01246 (Sayegh, NuhavsSayegh, Fahed)")</f>
        <v>Fwd: Submitted Filing Notification for Case No. 25PDRO01246 (Sayegh, NuhavsSayegh, Fahed)</v>
      </c>
      <c r="E206" s="6" t="str">
        <f>HYPERLINK("https://drive.google.com/file/d/1zRzZiJKGxBvMXaby-QS2nNim63NbN2a1/view", "Fwd Submitted Filing Notification for Case No. 25PDRO01246 (Sayegh, NuhavsSayegh, Fahed).pdf")</f>
        <v>Fwd Submitted Filing Notification for Case No. 25PDRO01246 (Sayegh, NuhavsSayegh, Fahed).pdf</v>
      </c>
      <c r="F20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6" s="5"/>
    </row>
    <row r="207" ht="15.75" customHeight="1">
      <c r="A207" s="4">
        <v>45936.582559814815</v>
      </c>
      <c r="B207" s="4">
        <v>45915.786145833335</v>
      </c>
      <c r="C207" s="5" t="s">
        <v>7</v>
      </c>
      <c r="D207" s="6" t="str">
        <f>HYPERLINK("https://mail.google.com/mail?extsrc=sync&amp;client=docs&amp;plid=ACUX6DO8gyUo07dMzzC9ufWwu3_Ifw_baAgMknI", "Fwd: Follow‑up Notice of Ex Parte Application – Judy Brakebill Jones 2008 Revocable Trust #1/2")</f>
        <v>Fwd: Follow‑up Notice of Ex Parte Application – Judy Brakebill Jones 2008 Revocable Trust #1/2</v>
      </c>
      <c r="E207" s="6" t="str">
        <f>HYPERLINK("https://drive.google.com/file/d/1w9_AiZOc66p7AHYtBSHpmmvZ76pWZ-vb/view", "2025.06.27 Ltr to E. Jones re Trust.pdf")</f>
        <v>2025.06.27 Ltr to E. Jones re Trust.pdf</v>
      </c>
      <c r="F20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7" s="5"/>
    </row>
    <row r="208" ht="15.75" customHeight="1">
      <c r="A208" s="4">
        <v>45936.58256181713</v>
      </c>
      <c r="B208" s="4">
        <v>45915.786145833335</v>
      </c>
      <c r="C208" s="5" t="s">
        <v>7</v>
      </c>
      <c r="D208" s="6" t="str">
        <f>HYPERLINK("https://mail.google.com/mail?extsrc=sync&amp;client=docs&amp;plid=ACUX6DO8gyUo07dMzzC9ufWwu3_Ifw_baAgMknI", "Fwd: Follow‑up Notice of Ex Parte Application – Judy Brakebill Jones 2008 Revocable Trust #2/2")</f>
        <v>Fwd: Follow‑up Notice of Ex Parte Application – Judy Brakebill Jones 2008 Revocable Trust #2/2</v>
      </c>
      <c r="E208" s="6" t="str">
        <f>HYPERLINK("https://drive.google.com/file/d/1U2kcN-6L4v4YhUzE4ojjdDDBjRGYyb35/view", "Will-signed-Jones.pdf")</f>
        <v>Will-signed-Jones.pdf</v>
      </c>
      <c r="F20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8" s="5"/>
    </row>
    <row r="209" ht="15.75" customHeight="1">
      <c r="A209" s="4">
        <v>45936.58258498843</v>
      </c>
      <c r="B209" s="4">
        <v>45915.786145833335</v>
      </c>
      <c r="C209" s="5" t="s">
        <v>7</v>
      </c>
      <c r="D209" s="6" t="str">
        <f t="shared" ref="D209:D210" si="36">HYPERLINK("https://mail.google.com/mail?extsrc=sync&amp;client=docs&amp;plid=ACUX6DO8gyUo07dMzzC9ufWwu3_Ifw_baAgMknI", "Fwd: Follow‑up Notice of Ex Parte Application – Judy Brakebill Jones 2008 Revocable Trust")</f>
        <v>Fwd: Follow‑up Notice of Ex Parte Application – Judy Brakebill Jones 2008 Revocable Trust</v>
      </c>
      <c r="E209" s="6" t="str">
        <f>HYPERLINK("https://drive.google.com/file/d/1tA3RuS4mWobVcs3N5Y5Z_noZON6QInn5/view", "Fwd Follow‑up Notice of Ex Parte Application – Judy Brakebill Jones 2008 Revocable Trust.pdf")</f>
        <v>Fwd Follow‑up Notice of Ex Parte Application – Judy Brakebill Jones 2008 Revocable Trust.pdf</v>
      </c>
      <c r="F20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09" s="5"/>
    </row>
    <row r="210" ht="15.75" customHeight="1">
      <c r="A210" s="4">
        <v>45936.58248628472</v>
      </c>
      <c r="B210" s="4">
        <v>45915.72394675926</v>
      </c>
      <c r="C210" s="5" t="s">
        <v>7</v>
      </c>
      <c r="D210" s="6" t="str">
        <f t="shared" si="36"/>
        <v>Fwd: Follow‑up Notice of Ex Parte Application – Judy Brakebill Jones 2008 Revocable Trust</v>
      </c>
      <c r="E210" s="6" t="str">
        <f>HYPERLINK("https://drive.google.com/file/d/1a4fJBTRh0_VOFQ97nUjkRDNKMuo6Kcat/view", "Fwd Follow‑up Notice of Ex Parte Application – Judy Brakebill Jones 2008 Revocable Trust.pdf")</f>
        <v>Fwd Follow‑up Notice of Ex Parte Application – Judy Brakebill Jones 2008 Revocable Trust.pdf</v>
      </c>
      <c r="F21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0" s="5"/>
    </row>
    <row r="211" ht="15.75" customHeight="1">
      <c r="A211" s="4">
        <v>45936.5824566088</v>
      </c>
      <c r="B211" s="4">
        <v>45916.68083333333</v>
      </c>
      <c r="C211" s="5" t="s">
        <v>7</v>
      </c>
      <c r="D211" s="6" t="str">
        <f>HYPERLINK("https://mail.google.com/mail?extsrc=sync&amp;client=docs&amp;plid=ACUX6DNVunMhY2v8J9A694VyQzwtNJDGdwA2NMw", "Is this the second document?? Demand Letter Case No. 25PDRO01246 September 12 2025")</f>
        <v>Is this the second document?? Demand Letter Case No. 25PDRO01246 September 12 2025</v>
      </c>
      <c r="E211" s="6" t="str">
        <f>HYPERLINK("https://drive.google.com/file/d/1BccLMWbAUrLREwHfmQVbGNNa8hwOTFaU/view", "Demand Letter Case No. 25PDRO01246 September 12 2025.pdf")</f>
        <v>Demand Letter Case No. 25PDRO01246 September 12 2025.pdf</v>
      </c>
      <c r="F21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1" s="5"/>
    </row>
    <row r="212" ht="15.75" customHeight="1">
      <c r="A212" s="4">
        <v>45936.58239814815</v>
      </c>
      <c r="B212" s="4">
        <v>45917.915034722224</v>
      </c>
      <c r="C212" s="5" t="s">
        <v>7</v>
      </c>
      <c r="D212" s="6" t="str">
        <f t="shared" ref="D212:D213" si="37">HYPERLINK("https://mail.google.com/mail?extsrc=sync&amp;client=docs&amp;plid=ACUX6DP7nV1wA6KO4Uj5vQaANAgsKit1zn-9XH8", "When I was loosing hair")</f>
        <v>When I was loosing hair</v>
      </c>
      <c r="E212" s="6" t="str">
        <f>HYPERLINK("https://drive.google.com/file/d/190E8cWYtVQToU9Df8XbE1i9X6UcnCtt_/view", "IMG_3777.jpg")</f>
        <v>IMG_3777.jpg</v>
      </c>
      <c r="F21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2" s="5"/>
    </row>
    <row r="213" ht="15.75" customHeight="1">
      <c r="A213" s="4">
        <v>45936.58243277778</v>
      </c>
      <c r="B213" s="4">
        <v>45917.915034722224</v>
      </c>
      <c r="C213" s="5" t="s">
        <v>7</v>
      </c>
      <c r="D213" s="6" t="str">
        <f t="shared" si="37"/>
        <v>When I was loosing hair</v>
      </c>
      <c r="E213" s="6" t="str">
        <f>HYPERLINK("https://drive.google.com/file/d/1zLOdL6epBMEayfJFUBhttH_GxHkc5o-Y/view", "When I was loosing hair.pdf")</f>
        <v>When I was loosing hair.pdf</v>
      </c>
      <c r="F21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3" s="5"/>
    </row>
    <row r="214" ht="15.75" customHeight="1">
      <c r="A214" s="4">
        <v>45936.58234386574</v>
      </c>
      <c r="B214" s="4">
        <v>45915.78002314815</v>
      </c>
      <c r="C214" s="5" t="s">
        <v>8</v>
      </c>
      <c r="D214" s="6" t="str">
        <f>HYPERLINK("https://mail.google.com/mail?extsrc=sync&amp;client=docs&amp;plid=ACUX6DOoUHDKjtJ1GYa-FgfACZpp1cGZQOl0QW0", "Dumb citation not important just documenting #1/2")</f>
        <v>Dumb citation not important just documenting #1/2</v>
      </c>
      <c r="E214" s="6" t="str">
        <f>HYPERLINK("https://drive.google.com/file/d/1dAzSNzkt36SXi_4v4Fbj028LUyaha4oU/view", "IMG_5008.png")</f>
        <v>IMG_5008.png</v>
      </c>
      <c r="F21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4" s="5"/>
    </row>
    <row r="215" ht="15.75" customHeight="1">
      <c r="A215" s="4">
        <v>45936.58234487269</v>
      </c>
      <c r="B215" s="4">
        <v>45915.78002314815</v>
      </c>
      <c r="C215" s="5" t="s">
        <v>8</v>
      </c>
      <c r="D215" s="6" t="str">
        <f>HYPERLINK("https://mail.google.com/mail?extsrc=sync&amp;client=docs&amp;plid=ACUX6DOoUHDKjtJ1GYa-FgfACZpp1cGZQOl0QW0", "Dumb citation not important just documenting #2/2")</f>
        <v>Dumb citation not important just documenting #2/2</v>
      </c>
      <c r="E215" s="6" t="str">
        <f>HYPERLINK("https://drive.google.com/file/d/1AtUovwuRhIJ5LV68hkCctw3atJ0YVoxY/view", "IMG_5007.png")</f>
        <v>IMG_5007.png</v>
      </c>
      <c r="F21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5" s="5"/>
    </row>
    <row r="216" ht="15.75" customHeight="1">
      <c r="A216" s="4">
        <v>45936.58236423611</v>
      </c>
      <c r="B216" s="4">
        <v>45915.78002314815</v>
      </c>
      <c r="C216" s="5" t="s">
        <v>8</v>
      </c>
      <c r="D216" s="6" t="str">
        <f>HYPERLINK("https://mail.google.com/mail?extsrc=sync&amp;client=docs&amp;plid=ACUX6DOoUHDKjtJ1GYa-FgfACZpp1cGZQOl0QW0", "Dumb citation not important just documenting")</f>
        <v>Dumb citation not important just documenting</v>
      </c>
      <c r="E216" s="6" t="str">
        <f>HYPERLINK("https://drive.google.com/file/d/1oiu6AVWAprjZxAgdf9MGVnbpm7t2JMfz/view", "Dumb citation not important just documenting.pdf")</f>
        <v>Dumb citation not important just documenting.pdf</v>
      </c>
      <c r="F21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6" s="5"/>
    </row>
    <row r="217" ht="15.75" customHeight="1">
      <c r="A217" s="4">
        <v>45936.582238194445</v>
      </c>
      <c r="B217" s="4">
        <v>45917.4903125</v>
      </c>
      <c r="C217" s="5" t="s">
        <v>7</v>
      </c>
      <c r="D217" s="6" t="str">
        <f t="shared" ref="D217:D218" si="38">HYPERLINK("https://mail.google.com/mail?extsrc=sync&amp;client=docs&amp;plid=ACUX6DPdxv2DSAqIINujS-xj0wj8cyoAi1AqEBc", "Yelp review 3 years ago Barney reviews")</f>
        <v>Yelp review 3 years ago Barney reviews</v>
      </c>
      <c r="E217" s="6" t="str">
        <f>HYPERLINK("https://drive.google.com/file/d/11z4WBrp68owYSyCEL5fGlvLk2w4kfih3/view", "47427.jpg")</f>
        <v>47427.jpg</v>
      </c>
      <c r="F21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7" s="5"/>
    </row>
    <row r="218" ht="15.75" customHeight="1">
      <c r="A218" s="4">
        <v>45936.582287199075</v>
      </c>
      <c r="B218" s="4">
        <v>45917.4903125</v>
      </c>
      <c r="C218" s="5" t="s">
        <v>7</v>
      </c>
      <c r="D218" s="6" t="str">
        <f t="shared" si="38"/>
        <v>Yelp review 3 years ago Barney reviews</v>
      </c>
      <c r="E218" s="6" t="str">
        <f>HYPERLINK("https://drive.google.com/file/d/1b3BCByyTyYDyoVa3gtNeCoPfkiMrMzk8/view", "Yelp review 3 years ago Barney reviews.pdf")</f>
        <v>Yelp review 3 years ago Barney reviews.pdf</v>
      </c>
      <c r="F21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8" s="5"/>
    </row>
    <row r="219" ht="15.75" customHeight="1">
      <c r="A219" s="4">
        <v>45936.58218012731</v>
      </c>
      <c r="B219" s="4">
        <v>45914.90584490741</v>
      </c>
      <c r="C219" s="5" t="s">
        <v>7</v>
      </c>
      <c r="D219" s="6" t="str">
        <f t="shared" ref="D219:D220" si="39">HYPERLINK("https://mail.google.com/mail?extsrc=sync&amp;client=docs&amp;plid=ACUX6DPvww7aC8XewxiWDPrFU2XYkSicduVmonI", "The Hyatt charged the card from beginning to end")</f>
        <v>The Hyatt charged the card from beginning to end</v>
      </c>
      <c r="E219" s="6" t="str">
        <f>HYPERLINK("https://drive.google.com/file/d/1EOlD2cycnm7tMP4hBp9qIEOqvflDlNZ1/view", "53210.jpg")</f>
        <v>53210.jpg</v>
      </c>
      <c r="F21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19" s="5"/>
    </row>
    <row r="220" ht="15.75" customHeight="1">
      <c r="A220" s="4">
        <v>45936.582208692125</v>
      </c>
      <c r="B220" s="4">
        <v>45914.90584490741</v>
      </c>
      <c r="C220" s="5" t="s">
        <v>7</v>
      </c>
      <c r="D220" s="6" t="str">
        <f t="shared" si="39"/>
        <v>The Hyatt charged the card from beginning to end</v>
      </c>
      <c r="E220" s="6" t="str">
        <f>HYPERLINK("https://drive.google.com/file/d/11A6DfsC5zPmXxYdWrn4MGrSULP3TWBZx/view", "The Hyatt charged the card from beginning to end.pdf")</f>
        <v>The Hyatt charged the card from beginning to end.pdf</v>
      </c>
      <c r="F22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0" s="5"/>
    </row>
    <row r="221" ht="15.75" customHeight="1">
      <c r="A221" s="4">
        <v>45936.582105787034</v>
      </c>
      <c r="B221" s="4">
        <v>45917.62086805556</v>
      </c>
      <c r="C221" s="5" t="s">
        <v>7</v>
      </c>
      <c r="D221" s="6" t="str">
        <f>HYPERLINK("https://mail.google.com/mail?extsrc=sync&amp;client=docs&amp;plid=ACUX6DPp9GfekeCjUh42f9zIEeE2YpqLsa_Wgzg", "URGENT: DVRO Served – Request CLETS Entry + Directed Patrol – Sayegh v. Sayegh, 25PDRO01246 – Dept L 9/18 08:30 #1/5")</f>
        <v>URGENT: DVRO Served – Request CLETS Entry + Directed Patrol – Sayegh v. Sayegh, 25PDRO01246 – Dept L 9/18 08:30 #1/5</v>
      </c>
      <c r="E221" s="6" t="str">
        <f>HYPERLINK("https://drive.google.com/file/d/1tYXWb75HVSVxpS8X_C4QnG4gN9rWkV73/view", "ADDENDUM TO SUPPLEMENTAL DECLARATION OF NUHA SAYEGH IN SUPPORT OF EX PARTE APPLICATION AND IN OPPOSITION TO RESPONDENT'S EX PARTE APPLICATION.pdf")</f>
        <v>ADDENDUM TO SUPPLEMENTAL DECLARATION OF NUHA SAYEGH IN SUPPORT OF EX PARTE APPLICATION AND IN OPPOSITION TO RESPONDENT'S EX PARTE APPLICATION.pdf</v>
      </c>
      <c r="F22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1" s="5"/>
    </row>
    <row r="222" ht="15.75" customHeight="1">
      <c r="A222" s="4">
        <v>45936.58210579861</v>
      </c>
      <c r="B222" s="4">
        <v>45917.62086805556</v>
      </c>
      <c r="C222" s="5" t="s">
        <v>7</v>
      </c>
      <c r="D222" s="6" t="str">
        <f>HYPERLINK("https://mail.google.com/mail?extsrc=sync&amp;client=docs&amp;plid=ACUX6DPp9GfekeCjUh42f9zIEeE2YpqLsa_Wgzg", "URGENT: DVRO Served – Request CLETS Entry + Directed Patrol – Sayegh v. Sayegh, 25PDRO01246 – Dept L 9/18 08:30 #2/5")</f>
        <v>URGENT: DVRO Served – Request CLETS Entry + Directed Patrol – Sayegh v. Sayegh, 25PDRO01246 – Dept L 9/18 08:30 #2/5</v>
      </c>
      <c r="E222" s="6" t="str">
        <f>HYPERLINK("https://drive.google.com/file/d/1tqW_TGSWIvf-hd6mJg0Pq0Y6_Dk1KR7v/view", "The Filed Proof of Personal Service (Form DV-200).pdf")</f>
        <v>The Filed Proof of Personal Service (Form DV-200).pdf</v>
      </c>
      <c r="F22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2" s="5"/>
    </row>
    <row r="223" ht="15.75" customHeight="1">
      <c r="A223" s="4">
        <v>45936.58210581019</v>
      </c>
      <c r="B223" s="4">
        <v>45917.62086805556</v>
      </c>
      <c r="C223" s="5" t="s">
        <v>7</v>
      </c>
      <c r="D223" s="6" t="str">
        <f>HYPERLINK("https://mail.google.com/mail?extsrc=sync&amp;client=docs&amp;plid=ACUX6DPp9GfekeCjUh42f9zIEeE2YpqLsa_Wgzg", "URGENT: DVRO Served – Request CLETS Entry + Directed Patrol – Sayegh v. Sayegh, 25PDRO01246 – Dept L 9/18 08:30 #3/5")</f>
        <v>URGENT: DVRO Served – Request CLETS Entry + Directed Patrol – Sayegh v. Sayegh, 25PDRO01246 – Dept L 9/18 08:30 #3/5</v>
      </c>
      <c r="E223" s="6" t="str">
        <f>HYPERLINK("https://drive.google.com/file/d/1dom1HxnU5cLGmPf6HmDnia3QoIoH9fTl/view", "DV 109,110,100.pdf")</f>
        <v>DV 109,110,100.pdf</v>
      </c>
      <c r="F22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3" s="5"/>
    </row>
    <row r="224" ht="15.75" customHeight="1">
      <c r="A224" s="4">
        <v>45936.58210581019</v>
      </c>
      <c r="B224" s="4">
        <v>45917.62086805556</v>
      </c>
      <c r="C224" s="5" t="s">
        <v>7</v>
      </c>
      <c r="D224" s="6" t="str">
        <f>HYPERLINK("https://mail.google.com/mail?extsrc=sync&amp;client=docs&amp;plid=ACUX6DPp9GfekeCjUh42f9zIEeE2YpqLsa_Wgzg", "URGENT: DVRO Served – Request CLETS Entry + Directed Patrol – Sayegh v. Sayegh, 25PDRO01246 – Dept L 9/18 08:30 #4/5")</f>
        <v>URGENT: DVRO Served – Request CLETS Entry + Directed Patrol – Sayegh v. Sayegh, 25PDRO01246 – Dept L 9/18 08:30 #4/5</v>
      </c>
      <c r="E224" s="6" t="str">
        <f>HYPERLINK("https://drive.google.com/file/d/1nFPZdX8OLVeU7rHAeYF_1sVXtmu4ElLM/view", "Exhibit B_Prohibited Contact.pdf")</f>
        <v>Exhibit B_Prohibited Contact.pdf</v>
      </c>
      <c r="F22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4" s="5"/>
    </row>
    <row r="225" ht="15.75" customHeight="1">
      <c r="A225" s="4">
        <v>45936.582105821755</v>
      </c>
      <c r="B225" s="4">
        <v>45917.62086805556</v>
      </c>
      <c r="C225" s="5" t="s">
        <v>7</v>
      </c>
      <c r="D225" s="6" t="str">
        <f>HYPERLINK("https://mail.google.com/mail?extsrc=sync&amp;client=docs&amp;plid=ACUX6DPp9GfekeCjUh42f9zIEeE2YpqLsa_Wgzg", "URGENT: DVRO Served – Request CLETS Entry + Directed Patrol – Sayegh v. Sayegh, 25PDRO01246 – Dept L 9/18 08:30 #5/5")</f>
        <v>URGENT: DVRO Served – Request CLETS Entry + Directed Patrol – Sayegh v. Sayegh, 25PDRO01246 – Dept L 9/18 08:30 #5/5</v>
      </c>
      <c r="E225" s="6" t="str">
        <f>HYPERLINK("https://drive.google.com/file/d/1mx76JtASRVNxjsWXe33_WMtmkgjncg-X/view", "Exhibit C_Photo of the lock-out and deadbolt.pdf")</f>
        <v>Exhibit C_Photo of the lock-out and deadbolt.pdf</v>
      </c>
      <c r="F22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5" s="5"/>
    </row>
    <row r="226" ht="15.75" customHeight="1">
      <c r="A226" s="4">
        <v>45936.58215255787</v>
      </c>
      <c r="B226" s="4">
        <v>45917.62086805556</v>
      </c>
      <c r="C226" s="5" t="s">
        <v>7</v>
      </c>
      <c r="D226" s="6" t="str">
        <f>HYPERLINK("https://mail.google.com/mail?extsrc=sync&amp;client=docs&amp;plid=ACUX6DPp9GfekeCjUh42f9zIEeE2YpqLsa_Wgzg", "URGENT: DVRO Served – Request CLETS Entry + Directed Patrol – Sayegh v. Sayegh, 25PDRO01246 – Dept L 9/18 08:30")</f>
        <v>URGENT: DVRO Served – Request CLETS Entry + Directed Patrol – Sayegh v. Sayegh, 25PDRO01246 – Dept L 9/18 08:30</v>
      </c>
      <c r="E226" s="6" t="str">
        <f>HYPERLINK("https://drive.google.com/file/d/1Ai4pIfBKa_XVKk4qvHj618O2oHHWLpyU/view", "URGENT DVRO Served – Request CLETS Entry + Directed Patrol – Sayegh v. Sayegh, 25PDRO01246 – Dept L 918 0830.pdf")</f>
        <v>URGENT DVRO Served – Request CLETS Entry + Directed Patrol – Sayegh v. Sayegh, 25PDRO01246 – Dept L 918 0830.pdf</v>
      </c>
      <c r="F22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6" s="5"/>
    </row>
    <row r="227" ht="15.75" customHeight="1">
      <c r="A227" s="4">
        <v>45936.58196902778</v>
      </c>
      <c r="B227" s="4">
        <v>45916.721296296295</v>
      </c>
      <c r="C227" s="5" t="s">
        <v>7</v>
      </c>
      <c r="D227" s="6" t="str">
        <f t="shared" ref="D227:D231" si="40">HYPERLINK("https://mail.google.com/mail?extsrc=sync&amp;client=docs&amp;plid=ACUX6DNMfDokQUWVBluOW2azL8JEqGxJ05c4l5U", "Re: Our proactive plan for the court date (This is a power move)")</f>
        <v>Re: Our proactive plan for the court date (This is a power move)</v>
      </c>
      <c r="E227" s="6" t="str">
        <f>HYPERLINK("https://drive.google.com/file/d/16AoRz0rrW0ersPMSgSPtOoHVxnyCEZ2b/view", "Re Our proactive plan for the court date (This is a power move).pdf")</f>
        <v>Re Our proactive plan for the court date (This is a power move).pdf</v>
      </c>
      <c r="F22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7" s="5"/>
    </row>
    <row r="228" ht="15.75" customHeight="1">
      <c r="A228" s="4">
        <v>45936.58194096065</v>
      </c>
      <c r="B228" s="4">
        <v>45916.97855324074</v>
      </c>
      <c r="C228" s="5" t="s">
        <v>7</v>
      </c>
      <c r="D228" s="6" t="str">
        <f t="shared" si="40"/>
        <v>Re: Our proactive plan for the court date (This is a power move)</v>
      </c>
      <c r="E228" s="6" t="str">
        <f>HYPERLINK("https://drive.google.com/file/d/1olhyuCLPWs4K2EGX3K5jRmhT8Yybzo_C/view", "Re Our proactive plan for the court date (This is a power move).pdf")</f>
        <v>Re Our proactive plan for the court date (This is a power move).pdf</v>
      </c>
      <c r="F22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8" s="5"/>
    </row>
    <row r="229" ht="15.75" customHeight="1">
      <c r="A229" s="4">
        <v>45936.581917986114</v>
      </c>
      <c r="B229" s="4">
        <v>45916.96136574074</v>
      </c>
      <c r="C229" s="5" t="s">
        <v>7</v>
      </c>
      <c r="D229" s="6" t="str">
        <f t="shared" si="40"/>
        <v>Re: Our proactive plan for the court date (This is a power move)</v>
      </c>
      <c r="E229" s="6" t="str">
        <f>HYPERLINK("https://drive.google.com/file/d/10Z7Xi-leY_Lf83YAe3OrY4O41bjtZ4iM/view", "Re Our proactive plan for the court date (This is a power move).pdf")</f>
        <v>Re Our proactive plan for the court date (This is a power move).pdf</v>
      </c>
      <c r="F22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29" s="5"/>
    </row>
    <row r="230" ht="15.75" customHeight="1">
      <c r="A230" s="4">
        <v>45936.58188460648</v>
      </c>
      <c r="B230" s="4">
        <v>45916.72641203704</v>
      </c>
      <c r="C230" s="5" t="s">
        <v>7</v>
      </c>
      <c r="D230" s="6" t="str">
        <f t="shared" si="40"/>
        <v>Re: Our proactive plan for the court date (This is a power move)</v>
      </c>
      <c r="E230" s="6" t="str">
        <f>HYPERLINK("https://drive.google.com/file/d/1gusY3goc17IPeCi-BjWKcy1AYaRV1rzd/view", "Re Our proactive plan for the court date (This is a power move).pdf")</f>
        <v>Re Our proactive plan for the court date (This is a power move).pdf</v>
      </c>
      <c r="F23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0" s="5"/>
    </row>
    <row r="231" ht="15.75" customHeight="1">
      <c r="A231" s="4">
        <v>45936.58186164351</v>
      </c>
      <c r="B231" s="4">
        <v>45916.74186342592</v>
      </c>
      <c r="C231" s="5" t="s">
        <v>7</v>
      </c>
      <c r="D231" s="6" t="str">
        <f t="shared" si="40"/>
        <v>Re: Our proactive plan for the court date (This is a power move)</v>
      </c>
      <c r="E231" s="6" t="str">
        <f>HYPERLINK("https://drive.google.com/file/d/1WqfG-xp8lUn-XAGujR6VMge6mUSBhqzI/view", "Re Our proactive plan for the court date (This is a power move).pdf")</f>
        <v>Re Our proactive plan for the court date (This is a power move).pdf</v>
      </c>
      <c r="F23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1" s="5"/>
    </row>
    <row r="232" ht="15.75" customHeight="1">
      <c r="A232" s="4">
        <v>45936.5817828588</v>
      </c>
      <c r="B232" s="4">
        <v>45917.76729166666</v>
      </c>
      <c r="C232" s="5" t="s">
        <v>9</v>
      </c>
      <c r="D232" s="6" t="str">
        <f>HYPERLINK("https://mail.google.com/mail?extsrc=sync&amp;client=docs&amp;plid=ACUX6DNvsWbMPF5DqElin95L_3OedQcM_JttE4E", "NOW!! Fwd: Ex Parte Notice- Sayegh, Fahed vs Sayegh, Nuha, Case Number: 25PDFL01441 #1/2")</f>
        <v>NOW!! Fwd: Ex Parte Notice- Sayegh, Fahed vs Sayegh, Nuha, Case Number: 25PDFL01441 #1/2</v>
      </c>
      <c r="E232" s="6" t="str">
        <f>HYPERLINK("https://drive.google.com/file/d/1cQJNwfSYQE_RpeQOGbm2c95704MawRQh/view", "fahed sayegh fl305.pdf")</f>
        <v>fahed sayegh fl305.pdf</v>
      </c>
      <c r="F23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2" s="5"/>
    </row>
    <row r="233" ht="15.75" customHeight="1">
      <c r="A233" s="4">
        <v>45936.581784166665</v>
      </c>
      <c r="B233" s="4">
        <v>45917.76729166666</v>
      </c>
      <c r="C233" s="5" t="s">
        <v>9</v>
      </c>
      <c r="D233" s="6" t="str">
        <f>HYPERLINK("https://mail.google.com/mail?extsrc=sync&amp;client=docs&amp;plid=ACUX6DNvsWbMPF5DqElin95L_3OedQcM_JttE4E", "NOW!! Fwd: Ex Parte Notice- Sayegh, Fahed vs Sayegh, Nuha, Case Number: 25PDFL01441 #2/2")</f>
        <v>NOW!! Fwd: Ex Parte Notice- Sayegh, Fahed vs Sayegh, Nuha, Case Number: 25PDFL01441 #2/2</v>
      </c>
      <c r="E233" s="6" t="str">
        <f>HYPERLINK("https://drive.google.com/file/d/1ntL6lnQc8IAtx5SYm6CiJTq8VVr_KmTy/view", "fahed sayed fl300.pdf")</f>
        <v>fahed sayed fl300.pdf</v>
      </c>
      <c r="F23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3" s="5"/>
    </row>
    <row r="234" ht="15.75" customHeight="1">
      <c r="A234" s="4">
        <v>45936.581699375005</v>
      </c>
      <c r="B234" s="4">
        <v>45915.75037037037</v>
      </c>
      <c r="C234" s="5" t="s">
        <v>7</v>
      </c>
      <c r="D234" s="6" t="str">
        <f>HYPERLINK("https://mail.google.com/mail?extsrc=sync&amp;client=docs&amp;plid=ACUX6DMYZ0pqpDAT6h7oTTTlLgtk3OgIE79NehQ", "voicemail-42558903200 #1/2")</f>
        <v>voicemail-42558903200 #1/2</v>
      </c>
      <c r="E234" s="6" t="str">
        <f>HYPERLINK("https://drive.google.com/file/d/1D2EtlbQIdl9ZekB0FpNEBumSICaR9z3A/view", "voicemail-42558903200.m4a")</f>
        <v>voicemail-42558903200.m4a</v>
      </c>
      <c r="F23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4" s="5"/>
    </row>
    <row r="235" ht="15.75" customHeight="1">
      <c r="A235" s="4">
        <v>45936.581701840274</v>
      </c>
      <c r="B235" s="4">
        <v>45915.75037037037</v>
      </c>
      <c r="C235" s="5" t="s">
        <v>7</v>
      </c>
      <c r="D235" s="6" t="str">
        <f>HYPERLINK("https://mail.google.com/mail?extsrc=sync&amp;client=docs&amp;plid=ACUX6DMYZ0pqpDAT6h7oTTTlLgtk3OgIE79NehQ", "voicemail-42558903200 #2/2")</f>
        <v>voicemail-42558903200 #2/2</v>
      </c>
      <c r="E235" s="6" t="str">
        <f>HYPERLINK("https://drive.google.com/file/d/1wICVkkEdBVNPy5RuXdO0gPDEoxyfobr6/view", "voicemail-42558903200.txt")</f>
        <v>voicemail-42558903200.txt</v>
      </c>
      <c r="F23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5" s="5"/>
    </row>
    <row r="236" ht="15.75" customHeight="1">
      <c r="A236" s="4">
        <v>45936.581721319446</v>
      </c>
      <c r="B236" s="4">
        <v>45915.75037037037</v>
      </c>
      <c r="C236" s="5" t="s">
        <v>7</v>
      </c>
      <c r="D236" s="6" t="str">
        <f>HYPERLINK("https://mail.google.com/mail?extsrc=sync&amp;client=docs&amp;plid=ACUX6DMYZ0pqpDAT6h7oTTTlLgtk3OgIE79NehQ", "voicemail-42558903200")</f>
        <v>voicemail-42558903200</v>
      </c>
      <c r="E236" s="6" t="str">
        <f>HYPERLINK("https://drive.google.com/file/d/1w64-xL2ADhaxueim4hjbeskhx6J5Gu7M/view", "voicemail-42558903200.pdf")</f>
        <v>voicemail-42558903200.pdf</v>
      </c>
      <c r="F23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6" s="5"/>
    </row>
    <row r="237" ht="15.75" customHeight="1">
      <c r="A237" s="4">
        <v>45936.581623356484</v>
      </c>
      <c r="B237" s="4">
        <v>45915.48844907407</v>
      </c>
      <c r="C237" s="5" t="s">
        <v>7</v>
      </c>
      <c r="D237" s="6" t="str">
        <f>HYPERLINK("https://mail.google.com/mail?extsrc=sync&amp;client=docs&amp;plid=ACUX6DNbYtzDZJszzeimHQ4Z7Mpg87Pt48H4R4w", "Fwd: Rejected Filing Notification for filing on case 25PDRO01246 (Sayegh, NuhavsSayegh, Fahed)")</f>
        <v>Fwd: Rejected Filing Notification for filing on case 25PDRO01246 (Sayegh, NuhavsSayegh, Fahed)</v>
      </c>
      <c r="E237" s="6" t="str">
        <f>HYPERLINK("https://drive.google.com/file/d/10msGya5gWKhSj3mYbJ5qAFxGcXlnmhXf/view", "Fwd Rejected Filing Notification for filing on case 25PDRO01246 (Sayegh, NuhavsSayegh, Fahed).pdf")</f>
        <v>Fwd Rejected Filing Notification for filing on case 25PDRO01246 (Sayegh, NuhavsSayegh, Fahed).pdf</v>
      </c>
      <c r="F23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7" s="5"/>
    </row>
    <row r="238" ht="15.75" customHeight="1">
      <c r="A238" s="4">
        <v>45936.58158918982</v>
      </c>
      <c r="B238" s="4">
        <v>45918.29549768519</v>
      </c>
      <c r="C238" s="5" t="s">
        <v>8</v>
      </c>
      <c r="D238" s="6" t="str">
        <f>HYPERLINK("https://mail.google.com/mail?extsrc=sync&amp;client=docs&amp;plid=ACUX6DMNniAF5yqncHBhObH-N8B2nikXgoJIu54", "Fwd: Ex Parte Notice- Sayegh, Fahed vs Sayegh, Nuha, Case Number: 25PDFL01441")</f>
        <v>Fwd: Ex Parte Notice- Sayegh, Fahed vs Sayegh, Nuha, Case Number: 25PDFL01441</v>
      </c>
      <c r="E238" s="6" t="str">
        <f>HYPERLINK("https://drive.google.com/file/d/1I9bsaFTgV3dWY3fqk-XmhBAILN5jNrDD/view", "Fwd Ex Parte Notice- Sayegh, Fahed vs Sayegh, Nuha, Case Number 25PDFL01441.pdf")</f>
        <v>Fwd Ex Parte Notice- Sayegh, Fahed vs Sayegh, Nuha, Case Number 25PDFL01441.pdf</v>
      </c>
      <c r="F23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8" s="5"/>
    </row>
    <row r="239" ht="15.75" customHeight="1">
      <c r="A239" s="4">
        <v>45936.58153953704</v>
      </c>
      <c r="B239" s="4">
        <v>45917.77993055555</v>
      </c>
      <c r="C239" s="5" t="s">
        <v>8</v>
      </c>
      <c r="D239" s="6" t="str">
        <f>HYPERLINK("https://mail.google.com/mail?extsrc=sync&amp;client=docs&amp;plid=ACUX6DMNniAF5yqncHBhObH-N8B2nikXgoJIu54", "Fwd: Ex Parte Notice- Sayegh, Fahed vs Sayegh, Nuha, Case Number: 25PDFL01441 #1/2")</f>
        <v>Fwd: Ex Parte Notice- Sayegh, Fahed vs Sayegh, Nuha, Case Number: 25PDFL01441 #1/2</v>
      </c>
      <c r="E239" s="6" t="str">
        <f>HYPERLINK("https://drive.google.com/file/d/1RF2gwb879SRdO1T8e0o3ZvcfvEf1Z8-w/view", "fahed sayegh fl305.pdf")</f>
        <v>fahed sayegh fl305.pdf</v>
      </c>
      <c r="F23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39" s="5"/>
    </row>
    <row r="240" ht="15.75" customHeight="1">
      <c r="A240" s="4">
        <v>45936.58153954861</v>
      </c>
      <c r="B240" s="4">
        <v>45917.77993055555</v>
      </c>
      <c r="C240" s="5" t="s">
        <v>8</v>
      </c>
      <c r="D240" s="6" t="str">
        <f>HYPERLINK("https://mail.google.com/mail?extsrc=sync&amp;client=docs&amp;plid=ACUX6DMNniAF5yqncHBhObH-N8B2nikXgoJIu54", "Fwd: Ex Parte Notice- Sayegh, Fahed vs Sayegh, Nuha, Case Number: 25PDFL01441 #2/2")</f>
        <v>Fwd: Ex Parte Notice- Sayegh, Fahed vs Sayegh, Nuha, Case Number: 25PDFL01441 #2/2</v>
      </c>
      <c r="E240" s="6" t="str">
        <f>HYPERLINK("https://drive.google.com/file/d/185et9Q2XwW30uL-RjBg9u9j00T18YBEf/view", "fahed sayed fl300.pdf")</f>
        <v>fahed sayed fl300.pdf</v>
      </c>
      <c r="F24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0" s="5"/>
    </row>
    <row r="241" ht="15.75" customHeight="1">
      <c r="A241" s="4">
        <v>45936.58156506944</v>
      </c>
      <c r="B241" s="4">
        <v>45917.77993055555</v>
      </c>
      <c r="C241" s="5" t="s">
        <v>8</v>
      </c>
      <c r="D241" s="6" t="str">
        <f t="shared" ref="D241:D242" si="41">HYPERLINK("https://mail.google.com/mail?extsrc=sync&amp;client=docs&amp;plid=ACUX6DMNniAF5yqncHBhObH-N8B2nikXgoJIu54", "Fwd: Ex Parte Notice- Sayegh, Fahed vs Sayegh, Nuha, Case Number: 25PDFL01441")</f>
        <v>Fwd: Ex Parte Notice- Sayegh, Fahed vs Sayegh, Nuha, Case Number: 25PDFL01441</v>
      </c>
      <c r="E241" s="6" t="str">
        <f>HYPERLINK("https://drive.google.com/file/d/16tIxzD6glJ_pAsWEgpSPWCyd7G2FTQHe/view", "Fwd Ex Parte Notice- Sayegh, Fahed vs Sayegh, Nuha, Case Number 25PDFL01441.pdf")</f>
        <v>Fwd Ex Parte Notice- Sayegh, Fahed vs Sayegh, Nuha, Case Number 25PDFL01441.pdf</v>
      </c>
      <c r="F24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1" s="5"/>
    </row>
    <row r="242" ht="15.75" customHeight="1">
      <c r="A242" s="4">
        <v>45936.581492847225</v>
      </c>
      <c r="B242" s="4">
        <v>45917.41594907407</v>
      </c>
      <c r="C242" s="5" t="s">
        <v>9</v>
      </c>
      <c r="D242" s="6" t="str">
        <f t="shared" si="41"/>
        <v>Fwd: Ex Parte Notice- Sayegh, Fahed vs Sayegh, Nuha, Case Number: 25PDFL01441</v>
      </c>
      <c r="E242" s="6" t="str">
        <f>HYPERLINK("https://drive.google.com/file/d/1dT5lYS2W9yuAw9CJqOX07iOsh9Zl_Hdv/view", "Fwd Ex Parte Notice- Sayegh, Fahed vs Sayegh, Nuha, Case Number 25PDFL01441.pdf")</f>
        <v>Fwd Ex Parte Notice- Sayegh, Fahed vs Sayegh, Nuha, Case Number 25PDFL01441.pdf</v>
      </c>
      <c r="F24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2" s="5"/>
    </row>
    <row r="243" ht="15.75" customHeight="1">
      <c r="A243" s="4">
        <v>45936.58142918981</v>
      </c>
      <c r="B243" s="4">
        <v>45917.00969907407</v>
      </c>
      <c r="C243" s="5" t="s">
        <v>7</v>
      </c>
      <c r="D243" s="6" t="str">
        <f>HYPERLINK("https://mail.google.com/mail?extsrc=sync&amp;client=docs&amp;plid=ACUX6DP0NjtrD4hIs02xMJly05tclm0Dk2hVczg", "voicemail-45639530816 #1/2")</f>
        <v>voicemail-45639530816 #1/2</v>
      </c>
      <c r="E243" s="6" t="str">
        <f>HYPERLINK("https://drive.google.com/file/d/1QLA25I_0teobUCjzF5sUIbPXsE7DUhBk/view", "voicemail-45639530816.m4a")</f>
        <v>voicemail-45639530816.m4a</v>
      </c>
      <c r="F24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3" s="5"/>
    </row>
    <row r="244" ht="15.75" customHeight="1">
      <c r="A244" s="4">
        <v>45936.581430046295</v>
      </c>
      <c r="B244" s="4">
        <v>45917.00969907407</v>
      </c>
      <c r="C244" s="5" t="s">
        <v>7</v>
      </c>
      <c r="D244" s="6" t="str">
        <f>HYPERLINK("https://mail.google.com/mail?extsrc=sync&amp;client=docs&amp;plid=ACUX6DP0NjtrD4hIs02xMJly05tclm0Dk2hVczg", "voicemail-45639530816 #2/2")</f>
        <v>voicemail-45639530816 #2/2</v>
      </c>
      <c r="E244" s="6" t="str">
        <f>HYPERLINK("https://drive.google.com/file/d/1Hy6tAslY31t6r7yeVW7pwCmLLrNNIE6U/view", "voicemail-45639530816.txt")</f>
        <v>voicemail-45639530816.txt</v>
      </c>
      <c r="F24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4" s="5"/>
    </row>
    <row r="245" ht="15.75" customHeight="1">
      <c r="A245" s="4">
        <v>45936.581449687495</v>
      </c>
      <c r="B245" s="4">
        <v>45917.00969907407</v>
      </c>
      <c r="C245" s="5" t="s">
        <v>7</v>
      </c>
      <c r="D245" s="6" t="str">
        <f>HYPERLINK("https://mail.google.com/mail?extsrc=sync&amp;client=docs&amp;plid=ACUX6DP0NjtrD4hIs02xMJly05tclm0Dk2hVczg", "voicemail-45639530816")</f>
        <v>voicemail-45639530816</v>
      </c>
      <c r="E245" s="6" t="str">
        <f>HYPERLINK("https://drive.google.com/file/d/1nDbw2NA58gy-9y3JlpmIPlZsUHMdYBNr/view", "voicemail-45639530816.pdf")</f>
        <v>voicemail-45639530816.pdf</v>
      </c>
      <c r="F24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5" s="5"/>
    </row>
    <row r="246" ht="15.75" customHeight="1">
      <c r="A246" s="4">
        <v>45936.58136833333</v>
      </c>
      <c r="B246" s="4">
        <v>45916.6103587963</v>
      </c>
      <c r="C246" s="5" t="s">
        <v>7</v>
      </c>
      <c r="D246" s="6" t="str">
        <f>HYPERLINK("https://mail.google.com/mail?extsrc=sync&amp;client=docs&amp;plid=ACUX6DM5VblY3XRO-yS6KiNMTZiRAGpKfZ7bopc", "Check out this property via Trulia Mobile app https://www.trulia.com/home/1685-poppy-peak-dr-pasadena-ca-91105-20769631?cid=shr%7Capp_ios_main_phone%7Crent%7Cpdp_share")</f>
        <v>Check out this property via Trulia Mobile app https://www.trulia.com/home/1685-poppy-peak-dr-pasadena-ca-91105-20769631?cid=shr%7Capp_ios_main_phone%7Crent%7Cpdp_share</v>
      </c>
      <c r="E246" s="6" t="str">
        <f>HYPERLINK("https://drive.google.com/file/d/1IE65QeGJMrUcDJ9bDzY7Xcijq7F0b9rN/view", "Check out this property via Trulia Mobile app httpswww.trulia.comhome1685-poppy-peak-dr-pasadena-ca-91105-20769631cid=shr%7Capp_ios_main_phone%7Crent%7Cpdp_share.pdf")</f>
        <v>Check out this property via Trulia Mobile app httpswww.trulia.comhome1685-poppy-peak-dr-pasadena-ca-91105-20769631cid=shr%7Capp_ios_main_phone%7Crent%7Cpdp_share.pdf</v>
      </c>
      <c r="F24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6" s="5"/>
    </row>
    <row r="247" ht="15.75" customHeight="1">
      <c r="A247" s="4">
        <v>45936.58134211806</v>
      </c>
      <c r="B247" s="4">
        <v>45916.691145833334</v>
      </c>
      <c r="C247" s="5" t="s">
        <v>7</v>
      </c>
      <c r="D247" s="6" t="str">
        <f>HYPERLINK("https://mail.google.com/mail?extsrc=sync&amp;client=docs&amp;plid=ACUX6DOY7R6YaG1WC-q9bTegP0JbNXHl67Eio0Y", "Fwd: Rejected Filing Notification for filing on case 20877150")</f>
        <v>Fwd: Rejected Filing Notification for filing on case 20877150</v>
      </c>
      <c r="E247" s="6" t="str">
        <f>HYPERLINK("https://drive.google.com/file/d/1utJEsakeJ7H1h_mv78bHhbkT9vmy0msA/view", "Fwd Rejected Filing Notification for filing on case 20877150.pdf")</f>
        <v>Fwd Rejected Filing Notification for filing on case 20877150.pdf</v>
      </c>
      <c r="F24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7" s="5"/>
    </row>
    <row r="248" ht="15.75" customHeight="1">
      <c r="A248" s="4">
        <v>45936.58106460648</v>
      </c>
      <c r="B248" s="4">
        <v>45922.40611111111</v>
      </c>
      <c r="C248" s="5" t="s">
        <v>7</v>
      </c>
      <c r="D248" s="6" t="str">
        <f t="shared" ref="D248:D249" si="42">HYPERLINK("https://mail.google.com/mail?extsrc=sync&amp;client=docs&amp;plid=ACUX6DMH5yX-bbKlgbINxAhLLC2IjVWSEg2nzBY", "Wow didn’t even realize he called me yesterday")</f>
        <v>Wow didn’t even realize he called me yesterday</v>
      </c>
      <c r="E248" s="6" t="str">
        <f>HYPERLINK("https://drive.google.com/file/d/1mI9_8tPoqmtY_Tv1x5uXa4NV4oVqy_QJ/view", "42904.jpg")</f>
        <v>42904.jpg</v>
      </c>
      <c r="F24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8" s="5"/>
    </row>
    <row r="249" ht="15.75" customHeight="1">
      <c r="A249" s="4">
        <v>45936.58108771991</v>
      </c>
      <c r="B249" s="4">
        <v>45922.40611111111</v>
      </c>
      <c r="C249" s="5" t="s">
        <v>7</v>
      </c>
      <c r="D249" s="6" t="str">
        <f t="shared" si="42"/>
        <v>Wow didn’t even realize he called me yesterday</v>
      </c>
      <c r="E249" s="6" t="str">
        <f>HYPERLINK("https://drive.google.com/file/d/1MmYVYK58yooldupFYyJ19PWcuCC4FsKX/view", "Wow didn’t even realize he called me yesterday.pdf")</f>
        <v>Wow didn’t even realize he called me yesterday.pdf</v>
      </c>
      <c r="F24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49" s="5"/>
    </row>
    <row r="250" ht="15.75" customHeight="1">
      <c r="A250" s="4">
        <v>45936.58100619213</v>
      </c>
      <c r="B250" s="4">
        <v>45922.72224537037</v>
      </c>
      <c r="C250" s="5" t="s">
        <v>7</v>
      </c>
      <c r="D250" s="6" t="str">
        <f>HYPERLINK("https://mail.google.com/mail?extsrc=sync&amp;client=docs&amp;plid=ACUX6DNfvMmkQTITFMwn0f4x3oEB8dcJkRtQOGg", "Fwd: I am deleting A LOT of these kind of email before Heres some to put away #1/3")</f>
        <v>Fwd: I am deleting A LOT of these kind of email before Heres some to put away #1/3</v>
      </c>
      <c r="E250" s="6" t="str">
        <f>HYPERLINK("https://drive.google.com/file/d/11AmD-SDW2qgE_GxyATPp6qghfGJkK8pl/view", "81608.jpg")</f>
        <v>81608.jpg</v>
      </c>
      <c r="F25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0" s="5"/>
    </row>
    <row r="251" ht="15.75" customHeight="1">
      <c r="A251" s="4">
        <v>45936.581007615736</v>
      </c>
      <c r="B251" s="4">
        <v>45922.72224537037</v>
      </c>
      <c r="C251" s="5" t="s">
        <v>7</v>
      </c>
      <c r="D251" s="6" t="str">
        <f>HYPERLINK("https://mail.google.com/mail?extsrc=sync&amp;client=docs&amp;plid=ACUX6DNfvMmkQTITFMwn0f4x3oEB8dcJkRtQOGg", "Fwd: I am deleting A LOT of these kind of email before Heres some to put away #2/3")</f>
        <v>Fwd: I am deleting A LOT of these kind of email before Heres some to put away #2/3</v>
      </c>
      <c r="E251" s="6" t="str">
        <f>HYPERLINK("https://drive.google.com/file/d/1sHJCEmPzOCYpogPgO3NBNqYhdbjWIbZu/view", "95294.jpg")</f>
        <v>95294.jpg</v>
      </c>
      <c r="F25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1" s="5"/>
    </row>
    <row r="252" ht="15.75" customHeight="1">
      <c r="A252" s="4">
        <v>45936.58100763889</v>
      </c>
      <c r="B252" s="4">
        <v>45922.72224537037</v>
      </c>
      <c r="C252" s="5" t="s">
        <v>7</v>
      </c>
      <c r="D252" s="6" t="str">
        <f>HYPERLINK("https://mail.google.com/mail?extsrc=sync&amp;client=docs&amp;plid=ACUX6DNfvMmkQTITFMwn0f4x3oEB8dcJkRtQOGg", "Fwd: I am deleting A LOT of these kind of email before Heres some to put away #3/3")</f>
        <v>Fwd: I am deleting A LOT of these kind of email before Heres some to put away #3/3</v>
      </c>
      <c r="E252" s="6" t="str">
        <f>HYPERLINK("https://drive.google.com/file/d/1tF61EiVOeCTr40ynkOEbbFS2l6TYlqvx/view", "Screenshot 2025-08-13 at 11.06.56 AM.jpeg")</f>
        <v>Screenshot 2025-08-13 at 11.06.56 AM.jpeg</v>
      </c>
      <c r="F25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2" s="5"/>
    </row>
    <row r="253" ht="15.75" customHeight="1">
      <c r="A253" s="4">
        <v>45936.581034745366</v>
      </c>
      <c r="B253" s="4">
        <v>45922.72224537037</v>
      </c>
      <c r="C253" s="5" t="s">
        <v>7</v>
      </c>
      <c r="D253" s="6" t="str">
        <f>HYPERLINK("https://mail.google.com/mail?extsrc=sync&amp;client=docs&amp;plid=ACUX6DNfvMmkQTITFMwn0f4x3oEB8dcJkRtQOGg", "Fwd: I am deleting A LOT of these kind of email before Heres some to put away")</f>
        <v>Fwd: I am deleting A LOT of these kind of email before Heres some to put away</v>
      </c>
      <c r="E253" s="6" t="str">
        <f>HYPERLINK("https://drive.google.com/file/d/1l-CIhc5JJZphiBldtDWwCdF-dY55NrRu/view", "Fwd I am deleting A LOT of these kind of email before Heres some to put away.pdf")</f>
        <v>Fwd I am deleting A LOT of these kind of email before Heres some to put away.pdf</v>
      </c>
      <c r="F25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3" s="5"/>
    </row>
    <row r="254" ht="15.75" customHeight="1">
      <c r="A254" s="4">
        <v>45936.580928564814</v>
      </c>
      <c r="B254" s="4">
        <v>45919.64583333333</v>
      </c>
      <c r="C254" s="5" t="s">
        <v>7</v>
      </c>
      <c r="D254" s="6" t="str">
        <f>HYPERLINK("https://mail.google.com/mail?extsrc=sync&amp;client=docs&amp;plid=ACUX6DMKsy83_NV8Hja2qrNzU1PFkQwTy4bDJwQ", "Fwd: California Public Records Act Request - Incident on Sept 8, 2025")</f>
        <v>Fwd: California Public Records Act Request - Incident on Sept 8, 2025</v>
      </c>
      <c r="E254" s="6" t="str">
        <f>HYPERLINK("https://drive.google.com/file/d/19vUNqHNZJxNkzZmHtbRKu9hF7_rOMsLx/view", "Fwd California Public Records Act Request - Incident on Sept 8, 2025.pdf")</f>
        <v>Fwd California Public Records Act Request - Incident on Sept 8, 2025.pdf</v>
      </c>
      <c r="F25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4" s="5"/>
    </row>
    <row r="255" ht="15.75" customHeight="1">
      <c r="A255" s="4">
        <v>45936.580870879625</v>
      </c>
      <c r="B255" s="4">
        <v>45919.62825231481</v>
      </c>
      <c r="C255" s="5" t="s">
        <v>7</v>
      </c>
      <c r="D255" s="6" t="str">
        <f t="shared" ref="D255:D256" si="43">HYPERLINK("https://mail.google.com/mail?extsrc=sync&amp;client=docs&amp;plid=ACUX6DOvVBVGmACCCbhgUq_Y-qiiKzfUskfpZDk", "WRONG LOOK")</f>
        <v>WRONG LOOK</v>
      </c>
      <c r="E255" s="6" t="str">
        <f>HYPERLINK("https://drive.google.com/file/d/1TwurLnUa2jaJdWRtEDPgTbXcrGd3Lri7/view", "74945.jpg")</f>
        <v>74945.jpg</v>
      </c>
      <c r="F25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5" s="5"/>
    </row>
    <row r="256" ht="15.75" customHeight="1">
      <c r="A256" s="4">
        <v>45936.580902685186</v>
      </c>
      <c r="B256" s="4">
        <v>45919.62825231481</v>
      </c>
      <c r="C256" s="5" t="s">
        <v>7</v>
      </c>
      <c r="D256" s="6" t="str">
        <f t="shared" si="43"/>
        <v>WRONG LOOK</v>
      </c>
      <c r="E256" s="6" t="str">
        <f>HYPERLINK("https://drive.google.com/file/d/16yZ5WdPdT2s_szLQ8JbxozKAi-_2cCKi/view", "WRONG LOOK.pdf")</f>
        <v>WRONG LOOK.pdf</v>
      </c>
      <c r="F25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6" s="5"/>
    </row>
    <row r="257" ht="15.75" customHeight="1">
      <c r="A257" s="4">
        <v>45936.580808865736</v>
      </c>
      <c r="B257" s="4">
        <v>45919.09688657407</v>
      </c>
      <c r="C257" s="5" t="s">
        <v>7</v>
      </c>
      <c r="D257" s="6" t="str">
        <f>HYPERLINK("https://mail.google.com/mail?extsrc=sync&amp;client=docs&amp;plid=ACUX6DN609bNVkDbfUf-_o7Rh9FnoN8GEzQ_RpQ", "Fwd: #1/2")</f>
        <v>Fwd: #1/2</v>
      </c>
      <c r="E257" s="6" t="str">
        <f>HYPERLINK("https://drive.google.com/file/d/1aWvf4UXrGU6gJU4c4cf6RY5-qKU1EgD2/view", "School-Safety-One-Pager-for-Nuha.pdf")</f>
        <v>School-Safety-One-Pager-for-Nuha.pdf</v>
      </c>
      <c r="F25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7" s="5"/>
    </row>
    <row r="258" ht="15.75" customHeight="1">
      <c r="A258" s="4">
        <v>45936.580813402776</v>
      </c>
      <c r="B258" s="4">
        <v>45919.09688657407</v>
      </c>
      <c r="C258" s="5" t="s">
        <v>7</v>
      </c>
      <c r="D258" s="6" t="str">
        <f>HYPERLINK("https://mail.google.com/mail?extsrc=sync&amp;client=docs&amp;plid=ACUX6DN609bNVkDbfUf-_o7Rh9FnoN8GEzQ_RpQ", "Fwd: #2/2")</f>
        <v>Fwd: #2/2</v>
      </c>
      <c r="E258" s="6" t="str">
        <f>HYPERLINK("https://drive.google.com/file/d/1yb27-7fq2M6vSgTKz8uGNDd_vcRTtnXH/view", "School &amp; Child-Care Communications Package.pdf")</f>
        <v>School &amp; Child-Care Communications Package.pdf</v>
      </c>
      <c r="F25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8" s="5"/>
    </row>
    <row r="259" ht="15.75" customHeight="1">
      <c r="A259" s="4">
        <v>45936.58083715278</v>
      </c>
      <c r="B259" s="4">
        <v>45919.09688657407</v>
      </c>
      <c r="C259" s="5" t="s">
        <v>7</v>
      </c>
      <c r="D259" s="6" t="str">
        <f>HYPERLINK("https://mail.google.com/mail?extsrc=sync&amp;client=docs&amp;plid=ACUX6DN609bNVkDbfUf-_o7Rh9FnoN8GEzQ_RpQ", "Fwd:")</f>
        <v>Fwd:</v>
      </c>
      <c r="E259" s="6" t="str">
        <f>HYPERLINK("https://drive.google.com/file/d/1-2vmnBjhxRFJ9b5HKTFcKTNU0Xvy_OHj/view", "Fwd.pdf")</f>
        <v>Fwd.pdf</v>
      </c>
      <c r="F25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59" s="5"/>
    </row>
    <row r="260" ht="15.75" customHeight="1">
      <c r="A260" s="4">
        <v>45936.580759097225</v>
      </c>
      <c r="B260" s="4">
        <v>45918.85030092593</v>
      </c>
      <c r="C260" s="5" t="s">
        <v>8</v>
      </c>
      <c r="D260" s="6" t="str">
        <f>HYPERLINK("https://mail.google.com/mail?extsrc=sync&amp;client=docs&amp;plid=ACUX6DO8kf-Uw1Z9wU17ovz4ebaHDHLGX_jKUik", "Fwd: Upcoming Event: PTA Meeting, on Tuesday, Sep 9 at 6:30 pm")</f>
        <v>Fwd: Upcoming Event: PTA Meeting, on Tuesday, Sep 9 at 6:30 pm</v>
      </c>
      <c r="E260" s="6" t="str">
        <f>HYPERLINK("https://drive.google.com/file/d/1umEHbjhiEeFdzV_vlrnCNb2I9M0hWtp7/view", "Fwd Upcoming Event PTA Meeting, on Tuesday, Sep 9 at 630 pm.pdf")</f>
        <v>Fwd Upcoming Event PTA Meeting, on Tuesday, Sep 9 at 630 pm.pdf</v>
      </c>
      <c r="F26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0" s="5"/>
    </row>
    <row r="261" ht="15.75" customHeight="1">
      <c r="A261" s="4">
        <v>45936.58070835649</v>
      </c>
      <c r="B261" s="4">
        <v>45918.900555555556</v>
      </c>
      <c r="C261" s="5" t="s">
        <v>8</v>
      </c>
      <c r="D261" s="6" t="str">
        <f t="shared" ref="D261:D262" si="44">HYPERLINK("https://mail.google.com/mail?extsrc=sync&amp;client=docs&amp;plid=ACUX6DNW92GElqQff3PV_irkbFyzXdZv6_74c0E", "")</f>
        <v/>
      </c>
      <c r="E261" s="6" t="str">
        <f>HYPERLINK("https://drive.google.com/file/d/1wovij4xB_JuxdBRfEVdqQW_3XYJ1WErH/view", "18400.jpg")</f>
        <v>18400.jpg</v>
      </c>
      <c r="F26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1" s="5"/>
    </row>
    <row r="262" ht="15.75" customHeight="1">
      <c r="A262" s="4">
        <v>45936.58073048611</v>
      </c>
      <c r="B262" s="4">
        <v>45918.900555555556</v>
      </c>
      <c r="C262" s="5" t="s">
        <v>8</v>
      </c>
      <c r="D262" s="6" t="str">
        <f t="shared" si="44"/>
        <v/>
      </c>
      <c r="E262" s="6" t="str">
        <f>HYPERLINK("https://drive.google.com/file/d/1hPpw7WOCNSdif7qYzkdXHHyHKCcCdoNu/view", "1759784173640.pdf")</f>
        <v>1759784173640.pdf</v>
      </c>
      <c r="F26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2" s="5"/>
    </row>
    <row r="263" ht="15.75" customHeight="1">
      <c r="A263" s="4">
        <v>45936.58067848379</v>
      </c>
      <c r="B263" s="4">
        <v>45919.720625</v>
      </c>
      <c r="C263" s="5" t="s">
        <v>7</v>
      </c>
      <c r="D263" s="6" t="str">
        <f>HYPERLINK("https://mail.google.com/mail?extsrc=sync&amp;client=docs&amp;plid=ACUX6DNa3zGlWjPI39rxW5SLRYJAn0tTYEafj7w", "Fwd: Status/Minute Order Request – Sayegh v. Sayegh – 25PDRO01246 – Ex Parte 9/18/2025")</f>
        <v>Fwd: Status/Minute Order Request – Sayegh v. Sayegh – 25PDRO01246 – Ex Parte 9/18/2025</v>
      </c>
      <c r="E263" s="6" t="str">
        <f>HYPERLINK("https://drive.google.com/file/d/1UO-RK_E3F8_F3Vp9rfP7E1cSV85TXn3M/view", "Fwd StatusMinute Order Request – Sayegh v. Sayegh – 25PDRO01246 – Ex Parte 9182025.pdf")</f>
        <v>Fwd StatusMinute Order Request – Sayegh v. Sayegh – 25PDRO01246 – Ex Parte 9182025.pdf</v>
      </c>
      <c r="F26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3" s="5"/>
    </row>
    <row r="264" ht="15.75" customHeight="1">
      <c r="A264" s="4">
        <v>45936.580623483795</v>
      </c>
      <c r="B264" s="4">
        <v>45919.64690972222</v>
      </c>
      <c r="C264" s="5" t="s">
        <v>7</v>
      </c>
      <c r="D264" s="6" t="str">
        <f>HYPERLINK("https://mail.google.com/mail?extsrc=sync&amp;client=docs&amp;plid=ACUX6DNa3zGlWjPI39rxW5SLRYJAn0tTYEafj7w", "Fwd: Status/Minute Order Request – Sayegh v. Sayegh – 25PDRO01246 – Ex Parte 9/18/2025 #1/4")</f>
        <v>Fwd: Status/Minute Order Request – Sayegh v. Sayegh – 25PDRO01246 – Ex Parte 9/18/2025 #1/4</v>
      </c>
      <c r="E264" s="6" t="str">
        <f>HYPERLINK("https://drive.google.com/file/d/1fI62GTXob8U6jFZpbP4ohhPOe144btms/view", "Sayegh_Evidence_Packet_ID_25-01573-07.pdf")</f>
        <v>Sayegh_Evidence_Packet_ID_25-01573-07.pdf</v>
      </c>
      <c r="F26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4" s="5"/>
    </row>
    <row r="265" ht="15.75" customHeight="1">
      <c r="A265" s="4">
        <v>45936.580624131944</v>
      </c>
      <c r="B265" s="4">
        <v>45919.64690972222</v>
      </c>
      <c r="C265" s="5" t="s">
        <v>7</v>
      </c>
      <c r="D265" s="6" t="str">
        <f>HYPERLINK("https://mail.google.com/mail?extsrc=sync&amp;client=docs&amp;plid=ACUX6DNa3zGlWjPI39rxW5SLRYJAn0tTYEafj7w", "Fwd: Status/Minute Order Request – Sayegh v. Sayegh – 25PDRO01246 – Ex Parte 9/18/2025 #2/4")</f>
        <v>Fwd: Status/Minute Order Request – Sayegh v. Sayegh – 25PDRO01246 – Ex Parte 9/18/2025 #2/4</v>
      </c>
      <c r="E265" s="6" t="str">
        <f>HYPERLINK("https://drive.google.com/file/d/1sAdOAWRNe9LQfI87WFBhZOs72VFTL2Hx/view", "The Filed Proof of Personal Service (Form DV-200) (2).pdf")</f>
        <v>The Filed Proof of Personal Service (Form DV-200) (2).pdf</v>
      </c>
      <c r="F26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5" s="5"/>
    </row>
    <row r="266" ht="15.75" customHeight="1">
      <c r="A266" s="4">
        <v>45936.58062418981</v>
      </c>
      <c r="B266" s="4">
        <v>45919.64690972222</v>
      </c>
      <c r="C266" s="5" t="s">
        <v>7</v>
      </c>
      <c r="D266" s="6" t="str">
        <f>HYPERLINK("https://mail.google.com/mail?extsrc=sync&amp;client=docs&amp;plid=ACUX6DNa3zGlWjPI39rxW5SLRYJAn0tTYEafj7w", "Fwd: Status/Minute Order Request – Sayegh v. Sayegh – 25PDRO01246 – Ex Parte 9/18/2025 #3/4")</f>
        <v>Fwd: Status/Minute Order Request – Sayegh v. Sayegh – 25PDRO01246 – Ex Parte 9/18/2025 #3/4</v>
      </c>
      <c r="E266" s="6" t="str">
        <f>HYPERLINK("https://drive.google.com/file/d/1drBOO6W4oD9TeX0lU4SP5dH_1DRMPiZt/view", "DV 110.pdf")</f>
        <v>DV 110.pdf</v>
      </c>
      <c r="F26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6" s="5"/>
    </row>
    <row r="267" ht="15.75" customHeight="1">
      <c r="A267" s="4">
        <v>45936.58062421296</v>
      </c>
      <c r="B267" s="4">
        <v>45919.64690972222</v>
      </c>
      <c r="C267" s="5" t="s">
        <v>7</v>
      </c>
      <c r="D267" s="6" t="str">
        <f>HYPERLINK("https://mail.google.com/mail?extsrc=sync&amp;client=docs&amp;plid=ACUX6DNa3zGlWjPI39rxW5SLRYJAn0tTYEafj7w", "Fwd: Status/Minute Order Request – Sayegh v. Sayegh – 25PDRO01246 – Ex Parte 9/18/2025 #4/4")</f>
        <v>Fwd: Status/Minute Order Request – Sayegh v. Sayegh – 25PDRO01246 – Ex Parte 9/18/2025 #4/4</v>
      </c>
      <c r="E267" s="6" t="str">
        <f>HYPERLINK("https://drive.google.com/file/d/11UqHLibCvtZBkP-rIYdOvJCM6_PUROEu/view", "DV 109,110,100.pdf")</f>
        <v>DV 109,110,100.pdf</v>
      </c>
      <c r="F26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7" s="5"/>
    </row>
    <row r="268" ht="15.75" customHeight="1">
      <c r="A268" s="4">
        <v>45936.580650497686</v>
      </c>
      <c r="B268" s="4">
        <v>45919.64690972222</v>
      </c>
      <c r="C268" s="5" t="s">
        <v>7</v>
      </c>
      <c r="D268" s="6" t="str">
        <f>HYPERLINK("https://mail.google.com/mail?extsrc=sync&amp;client=docs&amp;plid=ACUX6DNa3zGlWjPI39rxW5SLRYJAn0tTYEafj7w", "Fwd: Status/Minute Order Request – Sayegh v. Sayegh – 25PDRO01246 – Ex Parte 9/18/2025")</f>
        <v>Fwd: Status/Minute Order Request – Sayegh v. Sayegh – 25PDRO01246 – Ex Parte 9/18/2025</v>
      </c>
      <c r="E268" s="6" t="str">
        <f>HYPERLINK("https://drive.google.com/file/d/1fRDEfvBpU9I26LMaZ82JI6zOCQtUr1P6/view", "Fwd StatusMinute Order Request – Sayegh v. Sayegh – 25PDRO01246 – Ex Parte 9182025.pdf")</f>
        <v>Fwd StatusMinute Order Request – Sayegh v. Sayegh – 25PDRO01246 – Ex Parte 9182025.pdf</v>
      </c>
      <c r="F26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8" s="5"/>
    </row>
    <row r="269" ht="15.75" customHeight="1">
      <c r="A269" s="4">
        <v>45936.58049597222</v>
      </c>
      <c r="B269" s="4">
        <v>45921.49229166667</v>
      </c>
      <c r="C269" s="5" t="s">
        <v>7</v>
      </c>
      <c r="D269" s="6" t="str">
        <f t="shared" ref="D269:D270" si="45">HYPERLINK("https://mail.google.com/mail?extsrc=sync&amp;client=docs&amp;plid=ACUX6DPfsXvfAmjaOyGqajdJpXC0vo5r8E3-xQE", "This didn’t help me last night before I had recorded that audio as well")</f>
        <v>This didn’t help me last night before I had recorded that audio as well</v>
      </c>
      <c r="E269" s="6" t="str">
        <f>HYPERLINK("https://drive.google.com/file/d/1pns4LVbesAPWvoiShtD2DX2YqLWX-NCf/view", "IMG_5061.PNG")</f>
        <v>IMG_5061.PNG</v>
      </c>
      <c r="F26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69" s="5"/>
    </row>
    <row r="270" ht="15.75" customHeight="1">
      <c r="A270" s="4">
        <v>45936.580521550924</v>
      </c>
      <c r="B270" s="4">
        <v>45921.49229166667</v>
      </c>
      <c r="C270" s="5" t="s">
        <v>7</v>
      </c>
      <c r="D270" s="6" t="str">
        <f t="shared" si="45"/>
        <v>This didn’t help me last night before I had recorded that audio as well</v>
      </c>
      <c r="E270" s="6" t="str">
        <f>HYPERLINK("https://drive.google.com/file/d/1YEZBgGAyW2JcJViAd_OFzW-U3-gvAvkE/view", "This didn’t help me last night before I had recorded that audio as well.pdf")</f>
        <v>This didn’t help me last night before I had recorded that audio as well.pdf</v>
      </c>
      <c r="F27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0" s="5"/>
    </row>
    <row r="271" ht="15.75" customHeight="1">
      <c r="A271" s="4">
        <v>45936.5804659375</v>
      </c>
      <c r="B271" s="4">
        <v>45922.37103009259</v>
      </c>
      <c r="C271" s="5" t="s">
        <v>7</v>
      </c>
      <c r="D271" s="6" t="str">
        <f>HYPERLINK("https://mail.google.com/mail?extsrc=sync&amp;client=docs&amp;plid=ACUX6DO5QSz21kTwN1FlwhEIkhOYN2v5uMXS3f0", "Re: URGENT - Need Lawyer by Thursday - Everything Ready for You")</f>
        <v>Re: URGENT - Need Lawyer by Thursday - Everything Ready for You</v>
      </c>
      <c r="E271" s="6" t="str">
        <f>HYPERLINK("https://drive.google.com/file/d/12mnVWr6GrE6DZ7_wjMwb5b7_FUaYYtLJ/view", "Re URGENT - Need Lawyer by Thursday - Everything Ready for You.pdf")</f>
        <v>Re URGENT - Need Lawyer by Thursday - Everything Ready for You.pdf</v>
      </c>
      <c r="F27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1" s="5"/>
    </row>
    <row r="272" ht="15.75" customHeight="1">
      <c r="A272" s="4">
        <v>45936.58043515046</v>
      </c>
      <c r="B272" s="4">
        <v>45919.571111111116</v>
      </c>
      <c r="C272" s="5" t="s">
        <v>7</v>
      </c>
      <c r="D272" s="6" t="str">
        <f>HYPERLINK("https://mail.google.com/mail?extsrc=sync&amp;client=docs&amp;plid=ACUX6DNed3IqfOyqk4UU323CxmMIFumNpSJIuWI", "Fwd: Ex Parte Ruling #1/2")</f>
        <v>Fwd: Ex Parte Ruling #1/2</v>
      </c>
      <c r="E272" s="6" t="str">
        <f>HYPERLINK("https://drive.google.com/file/d/1cF2UynRNNjS6lJ-q0DlqUTL7-AZrAT9G/view", "9c91fe7b-d340-4ed9-a1de-e3419c7c79dcdocx.pdf")</f>
        <v>9c91fe7b-d340-4ed9-a1de-e3419c7c79dcdocx.pdf</v>
      </c>
      <c r="F27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2" s="5"/>
    </row>
    <row r="273" ht="15.75" customHeight="1">
      <c r="A273" s="4">
        <v>45936.580435173615</v>
      </c>
      <c r="B273" s="4">
        <v>45919.571111111116</v>
      </c>
      <c r="C273" s="5" t="s">
        <v>7</v>
      </c>
      <c r="D273" s="6" t="str">
        <f>HYPERLINK("https://mail.google.com/mail?extsrc=sync&amp;client=docs&amp;plid=ACUX6DNed3IqfOyqk4UU323CxmMIFumNpSJIuWI", "Fwd: Ex Parte Ruling #2/2")</f>
        <v>Fwd: Ex Parte Ruling #2/2</v>
      </c>
      <c r="E273" s="6" t="str">
        <f>HYPERLINK("https://drive.google.com/file/d/15RJMU1doNCldmdEge26x4vO_VXOnbSeS/view", "Scanned from a Xerox Multifunction Printer.pdf")</f>
        <v>Scanned from a Xerox Multifunction Printer.pdf</v>
      </c>
      <c r="F27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3" s="5"/>
    </row>
    <row r="274" ht="15.75" customHeight="1">
      <c r="A274" s="4">
        <v>45936.58037974537</v>
      </c>
      <c r="B274" s="4">
        <v>45919.670960648145</v>
      </c>
      <c r="C274" s="5" t="s">
        <v>7</v>
      </c>
      <c r="D274" s="6" t="str">
        <f>HYPERLINK("https://mail.google.com/mail?extsrc=sync&amp;client=docs&amp;plid=ACUX6DNDr46vnjutWQMzJKIp11syEY3PNvIIqxc", "Re: Won’t bother you after these questions here are answered please")</f>
        <v>Re: Won’t bother you after these questions here are answered please</v>
      </c>
      <c r="E274" s="6" t="str">
        <f>HYPERLINK("https://drive.google.com/file/d/1KFUab8Dby-5-zZc2wpfNH9XY1L_Hibum/view", "Re Won’t bother you after these questions here are answered please.pdf")</f>
        <v>Re Won’t bother you after these questions here are answered please.pdf</v>
      </c>
      <c r="F27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4" s="5"/>
    </row>
    <row r="275" ht="15.75" customHeight="1">
      <c r="A275" s="4">
        <v>45936.58035082176</v>
      </c>
      <c r="B275" s="4">
        <v>45918.80847222223</v>
      </c>
      <c r="C275" s="5" t="s">
        <v>8</v>
      </c>
      <c r="D275" s="6" t="str">
        <f>HYPERLINK("https://mail.google.com/mail?extsrc=sync&amp;client=docs&amp;plid=ACUX6DMX2nFpLyHmnrQvFOWGAKu0mJW2jH3xbrE", "")</f>
        <v/>
      </c>
      <c r="E275" s="6" t="str">
        <f>HYPERLINK("https://drive.google.com/file/d/1pIqhE1bKRdfYkMZYtIAXfbJc5BMLL7zS/view", "1759784140858.pdf")</f>
        <v>1759784140858.pdf</v>
      </c>
      <c r="F27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5" s="5"/>
    </row>
    <row r="276" ht="15.75" customHeight="1">
      <c r="A276" s="4">
        <v>45936.58032498843</v>
      </c>
      <c r="B276" s="4">
        <v>45918.848125000004</v>
      </c>
      <c r="C276" s="5" t="s">
        <v>8</v>
      </c>
      <c r="D276" s="6" t="str">
        <f>HYPERLINK("https://mail.google.com/mail?extsrc=sync&amp;client=docs&amp;plid=ACUX6DPJu3jKE_xd9niiUcbdm9eEwJIJmnd5GXM", "Fwd: Student Support and Engagement: Let's have a great school year!")</f>
        <v>Fwd: Student Support and Engagement: Let's have a great school year!</v>
      </c>
      <c r="E276" s="6" t="str">
        <f>HYPERLINK("https://drive.google.com/file/d/1p20RMxNP45zV_IKQEB2ge1wY3YXgnjMb/view", "Fwd Student Support and Engagement Let's have a great school year!.pdf")</f>
        <v>Fwd Student Support and Engagement Let's have a great school year!.pdf</v>
      </c>
      <c r="F27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6" s="5"/>
    </row>
    <row r="277" ht="15.75" customHeight="1">
      <c r="A277" s="4">
        <v>45936.58025626157</v>
      </c>
      <c r="B277" s="4">
        <v>45920.92775462963</v>
      </c>
      <c r="C277" s="5" t="s">
        <v>7</v>
      </c>
      <c r="D277" s="6" t="str">
        <f t="shared" ref="D277:D278" si="46">HYPERLINK("https://mail.google.com/mail?extsrc=sync&amp;client=docs&amp;plid=ACUX6DPooLRXnMRWexbdQp1knQ5s5e51lz0GaTE", "That’s not including the Airbnb. It didn’t even hit yet. I’ve exceeded")</f>
        <v>That’s not including the Airbnb. It didn’t even hit yet. I’ve exceeded</v>
      </c>
      <c r="E277" s="6" t="str">
        <f>HYPERLINK("https://drive.google.com/file/d/1NxEooZ1gq9E2QhW7Mw1yNlYl0qj32MMj/view", "66401.jpg")</f>
        <v>66401.jpg</v>
      </c>
      <c r="F27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7" s="5"/>
    </row>
    <row r="278" ht="15.75" customHeight="1">
      <c r="A278" s="4">
        <v>45936.58028087963</v>
      </c>
      <c r="B278" s="4">
        <v>45920.92775462963</v>
      </c>
      <c r="C278" s="5" t="s">
        <v>7</v>
      </c>
      <c r="D278" s="6" t="str">
        <f t="shared" si="46"/>
        <v>That’s not including the Airbnb. It didn’t even hit yet. I’ve exceeded</v>
      </c>
      <c r="E278" s="6" t="str">
        <f>HYPERLINK("https://drive.google.com/file/d/1MVFdy_LapaUVlaHOCWcOtJBr5jPz4iqD/view", "That’s not including the Airbnb. It didn’t even hit yet. I’ve exceeded.pdf")</f>
        <v>That’s not including the Airbnb. It didn’t even hit yet. I’ve exceeded.pdf</v>
      </c>
      <c r="F27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8" s="5"/>
    </row>
    <row r="279" ht="15.75" customHeight="1">
      <c r="A279" s="4">
        <v>45936.580188321765</v>
      </c>
      <c r="B279" s="4">
        <v>45918.94002314815</v>
      </c>
      <c r="C279" s="5" t="s">
        <v>7</v>
      </c>
      <c r="D279" s="6" t="str">
        <f t="shared" ref="D279:D280" si="47">HYPERLINK("https://mail.google.com/mail?extsrc=sync&amp;client=docs&amp;plid=ACUX6DPQ0gfx0vM5hpF78uj9d3OPZCaaeUvKaPU", "Is this a problem?")</f>
        <v>Is this a problem?</v>
      </c>
      <c r="E279" s="6" t="str">
        <f>HYPERLINK("https://drive.google.com/file/d/13C60tHkIGJ05h3EiuSnQjRKkSxdQXnor/view", "94595.jpg")</f>
        <v>94595.jpg</v>
      </c>
      <c r="F27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79" s="5"/>
    </row>
    <row r="280" ht="15.75" customHeight="1">
      <c r="A280" s="4">
        <v>45936.58022753472</v>
      </c>
      <c r="B280" s="4">
        <v>45918.94002314815</v>
      </c>
      <c r="C280" s="5" t="s">
        <v>7</v>
      </c>
      <c r="D280" s="6" t="str">
        <f t="shared" si="47"/>
        <v>Is this a problem?</v>
      </c>
      <c r="E280" s="6" t="str">
        <f>HYPERLINK("https://drive.google.com/file/d/1Q7Yc6EEGWWxvoKX60He1_Wwaip4LqegP/view", "Is this a problem.pdf")</f>
        <v>Is this a problem.pdf</v>
      </c>
      <c r="F28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0" s="5"/>
    </row>
    <row r="281" ht="15.75" customHeight="1">
      <c r="A281" s="4">
        <v>45936.580159363424</v>
      </c>
      <c r="B281" s="4">
        <v>45919.72084490741</v>
      </c>
      <c r="C281" s="5" t="s">
        <v>7</v>
      </c>
      <c r="D281" s="6" t="str">
        <f t="shared" ref="D281:D282" si="48">HYPERLINK("https://mail.google.com/mail?extsrc=sync&amp;client=docs&amp;plid=ACUX6DMj5Rp4nlKVDOpKaO1BOtz371vaeGDTd4w", "Re: Next steps")</f>
        <v>Re: Next steps</v>
      </c>
      <c r="E281" s="6" t="str">
        <f>HYPERLINK("https://drive.google.com/file/d/1EwdOOR_SswBoz1ZieiiYY6xlps-J8Cdv/view", "Re Next steps.pdf")</f>
        <v>Re Next steps.pdf</v>
      </c>
      <c r="F28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1" s="5"/>
    </row>
    <row r="282" ht="15.75" customHeight="1">
      <c r="A282" s="4">
        <v>45936.5801334375</v>
      </c>
      <c r="B282" s="4">
        <v>45919.716099537036</v>
      </c>
      <c r="C282" s="5" t="s">
        <v>7</v>
      </c>
      <c r="D282" s="6" t="str">
        <f t="shared" si="48"/>
        <v>Re: Next steps</v>
      </c>
      <c r="E282" s="6" t="str">
        <f>HYPERLINK("https://drive.google.com/file/d/1RA3lSD9s42G_6Z7FXfl2wSi3FL-BtET0/view", "Re Next steps.pdf")</f>
        <v>Re Next steps.pdf</v>
      </c>
      <c r="F28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2" s="5"/>
    </row>
    <row r="283" ht="15.75" customHeight="1">
      <c r="A283" s="4">
        <v>45936.58010523148</v>
      </c>
      <c r="B283" s="4">
        <v>45918.85643518518</v>
      </c>
      <c r="C283" s="5" t="s">
        <v>8</v>
      </c>
      <c r="D283" s="6" t="str">
        <f>HYPERLINK("https://mail.google.com/mail?extsrc=sync&amp;client=docs&amp;plid=ACUX6DO_VsBMmQ2NqwLoDlWpZyqqnFiFEsOqhF0", "ERIC!!! Add THIS!! PTA Meeting TODAY - JOIN US!")</f>
        <v>ERIC!!! Add THIS!! PTA Meeting TODAY - JOIN US!</v>
      </c>
      <c r="E283" s="6" t="str">
        <f>HYPERLINK("https://drive.google.com/file/d/1CQff_hybVgGGBslrdSVRzueV8TPWKDF6/view", "ERIC!!! Add THIS!! PTA Meeting TODAY - JOIN US!.pdf")</f>
        <v>ERIC!!! Add THIS!! PTA Meeting TODAY - JOIN US!.pdf</v>
      </c>
      <c r="F28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3" s="5"/>
    </row>
    <row r="284" ht="15.75" customHeight="1">
      <c r="A284" s="4">
        <v>45936.580051701385</v>
      </c>
      <c r="B284" s="4">
        <v>45922.68153935185</v>
      </c>
      <c r="C284" s="5" t="s">
        <v>7</v>
      </c>
      <c r="D284" s="6" t="str">
        <f t="shared" ref="D284:D285" si="49">HYPERLINK("https://mail.google.com/mail?extsrc=sync&amp;client=docs&amp;plid=ACUX6DM3efHfB0461IwoEt8fSy_raXsegHkQqEM", "K Kevin just texted me this")</f>
        <v>K Kevin just texted me this</v>
      </c>
      <c r="E284" s="6" t="str">
        <f>HYPERLINK("https://drive.google.com/file/d/1SdD706upu0S6QXCVH0HbnHjLyPo4qRpt/view", "61575.jpg")</f>
        <v>61575.jpg</v>
      </c>
      <c r="F28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4" s="5"/>
    </row>
    <row r="285" ht="15.75" customHeight="1">
      <c r="A285" s="4">
        <v>45936.58007635416</v>
      </c>
      <c r="B285" s="4">
        <v>45922.68153935185</v>
      </c>
      <c r="C285" s="5" t="s">
        <v>7</v>
      </c>
      <c r="D285" s="6" t="str">
        <f t="shared" si="49"/>
        <v>K Kevin just texted me this</v>
      </c>
      <c r="E285" s="6" t="str">
        <f>HYPERLINK("https://drive.google.com/file/d/1P_y7GImeg0EvtHAwTZ_Jfz9nvpdhnCGF/view", "K Kevin just texted me this.pdf")</f>
        <v>K Kevin just texted me this.pdf</v>
      </c>
      <c r="F28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5" s="5"/>
    </row>
    <row r="286" ht="15.75" customHeight="1">
      <c r="A286" s="4">
        <v>45936.580022361115</v>
      </c>
      <c r="B286" s="4">
        <v>45918.731840277775</v>
      </c>
      <c r="C286" s="5" t="s">
        <v>7</v>
      </c>
      <c r="D286" s="6" t="str">
        <f>HYPERLINK("https://mail.google.com/mail?extsrc=sync&amp;client=docs&amp;plid=ACUX6DNd2jJTUUFL5d-NnHjLzslUV913tGx1HHo", "Fwd:")</f>
        <v>Fwd:</v>
      </c>
      <c r="E286" s="6" t="str">
        <f>HYPERLINK("https://drive.google.com/file/d/1zV7U7HkDwBrJUzpHJKUGP4be-3E6IxmK/view", "Fwd.pdf")</f>
        <v>Fwd.pdf</v>
      </c>
      <c r="F28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6" s="5"/>
    </row>
    <row r="287" ht="15.75" customHeight="1">
      <c r="A287" s="4">
        <v>45936.579971203704</v>
      </c>
      <c r="B287" s="4">
        <v>45922.66070601852</v>
      </c>
      <c r="C287" s="5" t="s">
        <v>7</v>
      </c>
      <c r="D287" s="6" t="str">
        <f t="shared" ref="D287:D288" si="50">HYPERLINK("https://mail.google.com/mail?extsrc=sync&amp;client=docs&amp;plid=ACUX6DNGgGrE-oLHZXqz_NKxmPQFmUOjXh4iofU", "This is what he said he needed to see")</f>
        <v>This is what he said he needed to see</v>
      </c>
      <c r="E287" s="6" t="str">
        <f>HYPERLINK("https://drive.google.com/file/d/1TqB6CXlVPtfQ5dfrNQfsiQqX_docbYgA/view", "IMG_5073.jpeg")</f>
        <v>IMG_5073.jpeg</v>
      </c>
      <c r="F28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7" s="5"/>
    </row>
    <row r="288" ht="15.75" customHeight="1">
      <c r="A288" s="4">
        <v>45936.57999648148</v>
      </c>
      <c r="B288" s="4">
        <v>45922.66070601852</v>
      </c>
      <c r="C288" s="5" t="s">
        <v>7</v>
      </c>
      <c r="D288" s="6" t="str">
        <f t="shared" si="50"/>
        <v>This is what he said he needed to see</v>
      </c>
      <c r="E288" s="6" t="str">
        <f>HYPERLINK("https://drive.google.com/file/d/1Ok329OxHyvbfsaR7kTJgZ4_YNqPzKAIO/view", "This is what he said he needed to see.pdf")</f>
        <v>This is what he said he needed to see.pdf</v>
      </c>
      <c r="F28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8" s="5"/>
    </row>
    <row r="289" ht="15.75" customHeight="1">
      <c r="A289" s="4">
        <v>45936.57993678241</v>
      </c>
      <c r="B289" s="4">
        <v>45920.10903935185</v>
      </c>
      <c r="C289" s="5" t="s">
        <v>7</v>
      </c>
      <c r="D289" s="6" t="str">
        <f t="shared" ref="D289:D292" si="51">HYPERLINK("https://mail.google.com/mail?extsrc=sync&amp;client=docs&amp;plid=ACUX6DPN56S0AOQpwo1Tk1ndefEYuqS4StK23Hs", "Re: Why Choose? 🫦 You can have it all.")</f>
        <v>Re: Why Choose? 🫦 You can have it all.</v>
      </c>
      <c r="E289" s="6" t="str">
        <f>HYPERLINK("https://drive.google.com/file/d/1WF11U1jmdVFUL8VArJH1n44_L91v2YW2/view", "Re Why Choose 🫦 You can have it all..pdf")</f>
        <v>Re Why Choose 🫦 You can have it all..pdf</v>
      </c>
      <c r="F28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89" s="5"/>
    </row>
    <row r="290" ht="15.75" customHeight="1">
      <c r="A290" s="4">
        <v>45936.57989819444</v>
      </c>
      <c r="B290" s="4">
        <v>45920.07434027777</v>
      </c>
      <c r="C290" s="5" t="s">
        <v>7</v>
      </c>
      <c r="D290" s="6" t="str">
        <f t="shared" si="51"/>
        <v>Re: Why Choose? 🫦 You can have it all.</v>
      </c>
      <c r="E290" s="6" t="str">
        <f>HYPERLINK("https://drive.google.com/file/d/1iUZoQmwXBnYI9fAHHcSKvNADoalFRfSd/view", "Re Why Choose 🫦 You can have it all..pdf")</f>
        <v>Re Why Choose 🫦 You can have it all..pdf</v>
      </c>
      <c r="F29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0" s="5"/>
    </row>
    <row r="291" ht="15.75" customHeight="1">
      <c r="A291" s="4">
        <v>45936.57986034722</v>
      </c>
      <c r="B291" s="4">
        <v>45920.10775462963</v>
      </c>
      <c r="C291" s="5" t="s">
        <v>7</v>
      </c>
      <c r="D291" s="6" t="str">
        <f t="shared" si="51"/>
        <v>Re: Why Choose? 🫦 You can have it all.</v>
      </c>
      <c r="E291" s="6" t="str">
        <f>HYPERLINK("https://drive.google.com/file/d/1sQ4UlSEQSWTvZujzXjnzixIYR7X7vlyC/view", "Re Why Choose 🫦 You can have it all..pdf")</f>
        <v>Re Why Choose 🫦 You can have it all..pdf</v>
      </c>
      <c r="F29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1" s="5"/>
    </row>
    <row r="292" ht="15.75" customHeight="1">
      <c r="A292" s="4">
        <v>45936.579816840276</v>
      </c>
      <c r="B292" s="4">
        <v>45920.10804398148</v>
      </c>
      <c r="C292" s="5" t="s">
        <v>7</v>
      </c>
      <c r="D292" s="6" t="str">
        <f t="shared" si="51"/>
        <v>Re: Why Choose? 🫦 You can have it all.</v>
      </c>
      <c r="E292" s="6" t="str">
        <f>HYPERLINK("https://drive.google.com/file/d/1k-_L524PsarBwU-jhEL8l-nsig0QlsAX/view", "Re Why Choose 🫦 You can have it all..pdf")</f>
        <v>Re Why Choose 🫦 You can have it all..pdf</v>
      </c>
      <c r="F29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2" s="5"/>
    </row>
    <row r="293" ht="15.75" customHeight="1">
      <c r="A293" s="4">
        <v>45936.579773171296</v>
      </c>
      <c r="B293" s="4">
        <v>45922.65738425926</v>
      </c>
      <c r="C293" s="5" t="s">
        <v>7</v>
      </c>
      <c r="D293" s="6" t="str">
        <f t="shared" ref="D293:D294" si="52">HYPERLINK("https://mail.google.com/mail?extsrc=sync&amp;client=docs&amp;plid=ACUX6DPl766biwBUcHGlBYXhQ27I48Kn_mc86tU", "Re: updated documents")</f>
        <v>Re: updated documents</v>
      </c>
      <c r="E293" s="6" t="str">
        <f>HYPERLINK("https://drive.google.com/file/d/1Y-maPYggEfbLo_lULpjnXaMyGGy5EOBv/view", "Re updated documents.pdf")</f>
        <v>Re updated documents.pdf</v>
      </c>
      <c r="F29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3" s="5"/>
    </row>
    <row r="294" ht="15.75" customHeight="1">
      <c r="A294" s="4">
        <v>45936.57974861111</v>
      </c>
      <c r="B294" s="4">
        <v>45922.65788194444</v>
      </c>
      <c r="C294" s="5" t="s">
        <v>7</v>
      </c>
      <c r="D294" s="6" t="str">
        <f t="shared" si="52"/>
        <v>Re: updated documents</v>
      </c>
      <c r="E294" s="6" t="str">
        <f>HYPERLINK("https://drive.google.com/file/d/1IjKrXEPbRfdNtdO64w5O5Zf52Tg8Xjkr/view", "Re updated documents.pdf")</f>
        <v>Re updated documents.pdf</v>
      </c>
      <c r="F29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4" s="5"/>
    </row>
    <row r="295" ht="15.75" customHeight="1">
      <c r="A295" s="4">
        <v>45936.57971668981</v>
      </c>
      <c r="B295" s="4">
        <v>45918.312569444446</v>
      </c>
      <c r="C295" s="5" t="s">
        <v>8</v>
      </c>
      <c r="D295" s="6" t="str">
        <f>HYPERLINK("https://mail.google.com/mail?extsrc=sync&amp;client=docs&amp;plid=ACUX6DMNniAF5yqncHBhObH-N8B2nikXgoJIu54", "Fwd: Ex Parte Notice- Sayegh, Fahed vs Sayegh, Nuha, Case Number: 25PDFL01441")</f>
        <v>Fwd: Ex Parte Notice- Sayegh, Fahed vs Sayegh, Nuha, Case Number: 25PDFL01441</v>
      </c>
      <c r="E295" s="6" t="str">
        <f>HYPERLINK("https://drive.google.com/file/d/1kLFXZiFqC7fW1GzwxjM2rjweVJ8gPkal/view", "Fwd Ex Parte Notice- Sayegh, Fahed vs Sayegh, Nuha, Case Number 25PDFL01441.pdf")</f>
        <v>Fwd Ex Parte Notice- Sayegh, Fahed vs Sayegh, Nuha, Case Number 25PDFL01441.pdf</v>
      </c>
      <c r="F29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5" s="5"/>
    </row>
    <row r="296" ht="15.75" customHeight="1">
      <c r="A296" s="4">
        <v>45936.57968768518</v>
      </c>
      <c r="B296" s="4">
        <v>45920.48541666666</v>
      </c>
      <c r="C296" s="5" t="s">
        <v>7</v>
      </c>
      <c r="D296" s="6" t="str">
        <f>HYPERLINK("https://mail.google.com/mail?extsrc=sync&amp;client=docs&amp;plid=ACUX6DNgx6i7Z5iz0Lsiv6W70sKzi3aAwwSG6vQ", "Re: Sweet water")</f>
        <v>Re: Sweet water</v>
      </c>
      <c r="E296" s="6" t="str">
        <f>HYPERLINK("https://drive.google.com/file/d/1iCSKfohBwkmeT_qLkFqf7BRjmbu1sWPZ/view", "Re Sweet water.pdf")</f>
        <v>Re Sweet water.pdf</v>
      </c>
      <c r="F29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6" s="5"/>
    </row>
    <row r="297" ht="15.75" customHeight="1">
      <c r="A297" s="4">
        <v>45936.57966287037</v>
      </c>
      <c r="B297" s="4">
        <v>45920.475</v>
      </c>
      <c r="C297" s="5" t="s">
        <v>7</v>
      </c>
      <c r="D297" s="6" t="str">
        <f>HYPERLINK("https://mail.google.com/mail?extsrc=sync&amp;client=docs&amp;plid=ACUX6DNgx6i7Z5iz0Lsiv6W70sKzi3aAwwSG6vQ", "Sweet water")</f>
        <v>Sweet water</v>
      </c>
      <c r="E297" s="6" t="str">
        <f>HYPERLINK("https://drive.google.com/file/d/1Z_s0IFHihMJ82206oEC0teE39jsBg4VI/view", "Sweet water.pdf")</f>
        <v>Sweet water.pdf</v>
      </c>
      <c r="F29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7" s="5"/>
    </row>
    <row r="298" ht="15.75" customHeight="1">
      <c r="A298" s="4">
        <v>45936.5796347338</v>
      </c>
      <c r="B298" s="4">
        <v>45920.82255787037</v>
      </c>
      <c r="C298" s="5" t="s">
        <v>7</v>
      </c>
      <c r="D298" s="6" t="str">
        <f>HYPERLINK("https://mail.google.com/mail?extsrc=sync&amp;client=docs&amp;plid=ACUX6DMQ9BVuS7Vo_2sgWX3wn7Hm7ubTMI1f5_0", "iPhone Tracking Device Detection Apps: 2025 Effectiveness Review")</f>
        <v>iPhone Tracking Device Detection Apps: 2025 Effectiveness Review</v>
      </c>
      <c r="E298" s="6" t="str">
        <f>HYPERLINK("https://drive.google.com/file/d/1wyi8gnrrPIceAdNFLeUrnxKrceiYZPue/view", "iPhone Tracking Device Detection Apps 2025 Effectiveness Review.pdf")</f>
        <v>iPhone Tracking Device Detection Apps 2025 Effectiveness Review.pdf</v>
      </c>
      <c r="F29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8" s="5"/>
    </row>
    <row r="299" ht="15.75" customHeight="1">
      <c r="A299" s="4">
        <v>45936.579607719905</v>
      </c>
      <c r="B299" s="4">
        <v>45918.85388888889</v>
      </c>
      <c r="C299" s="5" t="s">
        <v>8</v>
      </c>
      <c r="D299" s="6" t="str">
        <f>HYPERLINK("https://mail.google.com/mail?extsrc=sync&amp;client=docs&amp;plid=ACUX6DNnV2iv07UhVuMH12A8L7FlnC7cu4QV_8A", "Fwd: PTA Meeting TODAY - JOIN US!")</f>
        <v>Fwd: PTA Meeting TODAY - JOIN US!</v>
      </c>
      <c r="E299" s="6" t="str">
        <f>HYPERLINK("https://drive.google.com/file/d/142kGMGwu1fms1ATV5m9wK4kBjucUJACN/view", "Fwd PTA Meeting TODAY - JOIN US!.pdf")</f>
        <v>Fwd PTA Meeting TODAY - JOIN US!.pdf</v>
      </c>
      <c r="F29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299" s="5"/>
    </row>
    <row r="300" ht="15.75" customHeight="1">
      <c r="A300" s="4">
        <v>45936.57953581019</v>
      </c>
      <c r="B300" s="4">
        <v>45918.90166666667</v>
      </c>
      <c r="C300" s="5" t="s">
        <v>8</v>
      </c>
      <c r="D300" s="6" t="str">
        <f t="shared" ref="D300:D301" si="53">HYPERLINK("https://mail.google.com/mail?extsrc=sync&amp;client=docs&amp;plid=ACUX6DPiy-BByd_NoLxqd4KHEgZCqVNXgaip6h0", "It’s obvious when it filled it out and put the main number for the phone, which is your phone")</f>
        <v>It’s obvious when it filled it out and put the main number for the phone, which is your phone</v>
      </c>
      <c r="E300" s="6" t="str">
        <f>HYPERLINK("https://drive.google.com/file/d/13B9OUtLx6w6KrsJck6w6JFRsx_hEgeXs/view", "18056.jpg")</f>
        <v>18056.jpg</v>
      </c>
      <c r="F30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0" s="5"/>
    </row>
    <row r="301" ht="15.75" customHeight="1">
      <c r="A301" s="4">
        <v>45936.579577083336</v>
      </c>
      <c r="B301" s="4">
        <v>45918.90166666667</v>
      </c>
      <c r="C301" s="5" t="s">
        <v>8</v>
      </c>
      <c r="D301" s="6" t="str">
        <f t="shared" si="53"/>
        <v>It’s obvious when it filled it out and put the main number for the phone, which is your phone</v>
      </c>
      <c r="E301" s="6" t="str">
        <f>HYPERLINK("https://drive.google.com/file/d/1bF96uQU1ZwF0KLtHfHlu0JP4sOph7iC9/view", "It’s obvious when it filled it out and put the main number for the phone, which is your phone.pdf")</f>
        <v>It’s obvious when it filled it out and put the main number for the phone, which is your phone.pdf</v>
      </c>
      <c r="F30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1" s="5"/>
    </row>
    <row r="302" ht="15.75" customHeight="1">
      <c r="A302" s="4">
        <v>45936.57947909722</v>
      </c>
      <c r="B302" s="4">
        <v>45922.72135416667</v>
      </c>
      <c r="C302" s="5" t="s">
        <v>7</v>
      </c>
      <c r="D302" s="6" t="str">
        <f t="shared" ref="D302:D303" si="54">HYPERLINK("https://mail.google.com/mail?extsrc=sync&amp;client=docs&amp;plid=ACUX6DNRESjvfJJSrVdV_anQnb0eACUK02fOQeg", "")</f>
        <v/>
      </c>
      <c r="E302" s="6" t="str">
        <f>HYPERLINK("https://drive.google.com/file/d/1dWPZILKCn917eEDxhbmX4hSFGItxVJ4r/view", "26916.jpg")</f>
        <v>26916.jpg</v>
      </c>
      <c r="F30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2" s="5"/>
    </row>
    <row r="303" ht="15.75" customHeight="1">
      <c r="A303" s="4">
        <v>45936.57950221065</v>
      </c>
      <c r="B303" s="4">
        <v>45922.72135416667</v>
      </c>
      <c r="C303" s="5" t="s">
        <v>7</v>
      </c>
      <c r="D303" s="6" t="str">
        <f t="shared" si="54"/>
        <v/>
      </c>
      <c r="E303" s="6" t="str">
        <f>HYPERLINK("https://drive.google.com/file/d/1xRkfXf4hP2KvRMNw096-iR-yv9Oza_r-/view", "1759784067558.pdf")</f>
        <v>1759784067558.pdf</v>
      </c>
      <c r="F30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3" s="5"/>
    </row>
    <row r="304" ht="15.75" customHeight="1">
      <c r="A304" s="4">
        <v>45936.57942335648</v>
      </c>
      <c r="B304" s="4">
        <v>45919.10309027778</v>
      </c>
      <c r="C304" s="5" t="s">
        <v>7</v>
      </c>
      <c r="D304" s="6" t="str">
        <f t="shared" ref="D304:D305" si="55">HYPERLINK("https://mail.google.com/mail?extsrc=sync&amp;client=docs&amp;plid=ACUX6DOsCaFlLTBSzIncKUx2fq_6qQc2nRqX6Kc", "Fwd: Same Watch Commander ive spoken to late yesterday evening")</f>
        <v>Fwd: Same Watch Commander ive spoken to late yesterday evening</v>
      </c>
      <c r="E304" s="6" t="str">
        <f>HYPERLINK("https://drive.google.com/file/d/13Y_YyDNdJsnV16F1Flz6RH4tYnEj6Nm9/view", "Nuha is confused as to _who is the watch commander.pdf")</f>
        <v>Nuha is confused as to _who is the watch commander.pdf</v>
      </c>
      <c r="F30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4" s="5"/>
    </row>
    <row r="305" ht="15.75" customHeight="1">
      <c r="A305" s="4">
        <v>45936.57944961806</v>
      </c>
      <c r="B305" s="4">
        <v>45919.10309027778</v>
      </c>
      <c r="C305" s="5" t="s">
        <v>7</v>
      </c>
      <c r="D305" s="6" t="str">
        <f t="shared" si="55"/>
        <v>Fwd: Same Watch Commander ive spoken to late yesterday evening</v>
      </c>
      <c r="E305" s="6" t="str">
        <f>HYPERLINK("https://drive.google.com/file/d/1zLGffqmBJsgWzxy7nxZmx5y4ahWzV-_a/view", "Fwd Same Watch Commander ive spoken to late yesterday evening.pdf")</f>
        <v>Fwd Same Watch Commander ive spoken to late yesterday evening.pdf</v>
      </c>
      <c r="F30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5" s="5"/>
    </row>
    <row r="306" ht="15.75" customHeight="1">
      <c r="A306" s="4">
        <v>45936.5793996875</v>
      </c>
      <c r="B306" s="4">
        <v>45918.6716087963</v>
      </c>
      <c r="C306" s="5" t="s">
        <v>7</v>
      </c>
      <c r="D306" s="6" t="str">
        <f>HYPERLINK("https://mail.google.com/mail?extsrc=sync&amp;client=docs&amp;plid=ACUX6DOsCaFlLTBSzIncKUx2fq_6qQc2nRqX6Kc", "Same Watch Commander ive spoken to late yesterday evening")</f>
        <v>Same Watch Commander ive spoken to late yesterday evening</v>
      </c>
      <c r="E306" s="6" t="str">
        <f>HYPERLINK("https://drive.google.com/file/d/1Gk8i5Hwnoc24kEKi0Nj_blSS6mW8i9wC/view", "Same Watch Commander ive spoken to late yesterday evening.pdf")</f>
        <v>Same Watch Commander ive spoken to late yesterday evening.pdf</v>
      </c>
      <c r="F30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6" s="5"/>
    </row>
    <row r="307" ht="15.75" customHeight="1">
      <c r="A307" s="4">
        <v>45936.57934715278</v>
      </c>
      <c r="B307" s="4">
        <v>45918.95123842593</v>
      </c>
      <c r="C307" s="5" t="s">
        <v>7</v>
      </c>
      <c r="D307" s="6" t="str">
        <f t="shared" ref="D307:D308" si="56">HYPERLINK("https://mail.google.com/mail?extsrc=sync&amp;client=docs&amp;plid=ACUX6DM9MaoyXMRP1dw0YgRwa5gtKymTk6Pxzd8", "THIS MAYBE SOMETHING YOU CAN USE")</f>
        <v>THIS MAYBE SOMETHING YOU CAN USE</v>
      </c>
      <c r="E307" s="6" t="str">
        <f>HYPERLINK("https://drive.google.com/file/d/1huRSUT0RaTVk7sByuAmmM1opF_X7Jl_B/view", "DCFS.docx")</f>
        <v>DCFS.docx</v>
      </c>
      <c r="F30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7" s="5"/>
    </row>
    <row r="308" ht="15.75" customHeight="1">
      <c r="A308" s="4">
        <v>45936.57936898148</v>
      </c>
      <c r="B308" s="4">
        <v>45918.95123842593</v>
      </c>
      <c r="C308" s="5" t="s">
        <v>7</v>
      </c>
      <c r="D308" s="6" t="str">
        <f t="shared" si="56"/>
        <v>THIS MAYBE SOMETHING YOU CAN USE</v>
      </c>
      <c r="E308" s="6" t="str">
        <f>HYPERLINK("https://drive.google.com/file/d/1OyUiMcc127fX4snl6jCtlWPtthMv9QJz/view", "THIS MAYBE SOMETHING YOU CAN USE.pdf")</f>
        <v>THIS MAYBE SOMETHING YOU CAN USE.pdf</v>
      </c>
      <c r="F30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8" s="5"/>
    </row>
    <row r="309" ht="15.75" customHeight="1">
      <c r="A309" s="4">
        <v>45936.57931987269</v>
      </c>
      <c r="B309" s="4">
        <v>45919.64653935185</v>
      </c>
      <c r="C309" s="5" t="s">
        <v>7</v>
      </c>
      <c r="D309" s="6" t="str">
        <f>HYPERLINK("https://mail.google.com/mail?extsrc=sync&amp;client=docs&amp;plid=ACUX6DOHksyDF-1iMQPiyBrdm4aPVZN8uxqd6qs", "Fwd: Request for Minute Order &amp; CLETS Correction - Case 25PDRO01246")</f>
        <v>Fwd: Request for Minute Order &amp; CLETS Correction - Case 25PDRO01246</v>
      </c>
      <c r="E309" s="6" t="str">
        <f>HYPERLINK("https://drive.google.com/file/d/11hTj8yCLa2RAyukmfwgPNowtFIb_fhl6/view", "Fwd Request for Minute Order &amp; CLETS Correction - Case 25PDRO01246.pdf")</f>
        <v>Fwd Request for Minute Order &amp; CLETS Correction - Case 25PDRO01246.pdf</v>
      </c>
      <c r="F30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09" s="5"/>
    </row>
    <row r="310" ht="15.75" customHeight="1">
      <c r="A310" s="4">
        <v>45936.57929297454</v>
      </c>
      <c r="B310" s="4">
        <v>45922.61534722222</v>
      </c>
      <c r="C310" s="5" t="s">
        <v>7</v>
      </c>
      <c r="D310" s="6" t="str">
        <f>HYPERLINK("https://mail.google.com/mail?extsrc=sync&amp;client=docs&amp;plid=ACUX6DP-R45hNh7ZqadIKhcdarfODSvLTmhykqs", "Re: Proof of Service")</f>
        <v>Re: Proof of Service</v>
      </c>
      <c r="E310" s="6" t="str">
        <f>HYPERLINK("https://drive.google.com/file/d/1R-t5vQf3ndMTDHiRFLCQ6j_soCsNNPed/view", "Re Proof of Service.pdf")</f>
        <v>Re Proof of Service.pdf</v>
      </c>
      <c r="F31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0" s="5"/>
    </row>
    <row r="311" ht="15.75" customHeight="1">
      <c r="A311" s="4">
        <v>45936.57926385417</v>
      </c>
      <c r="B311" s="4">
        <v>45920.75918981481</v>
      </c>
      <c r="C311" s="5" t="s">
        <v>7</v>
      </c>
      <c r="D311" s="6" t="str">
        <f>HYPERLINK("https://mail.google.com/mail?extsrc=sync&amp;client=docs&amp;plid=ACUX6DP2UpmsZ6BaYu7TP0IgQkthxE-8qWAKtf0", "Trip to Monrovia")</f>
        <v>Trip to Monrovia</v>
      </c>
      <c r="E311" s="6" t="str">
        <f>HYPERLINK("https://drive.google.com/file/d/1XfoBCnGGEvDU5n0jh9VVJhRVaHKjEL0Y/view", "Trip to Monrovia.pdf")</f>
        <v>Trip to Monrovia.pdf</v>
      </c>
      <c r="F31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1" s="5"/>
    </row>
    <row r="312" ht="15.75" customHeight="1">
      <c r="A312" s="4">
        <v>45936.579237025464</v>
      </c>
      <c r="B312" s="4">
        <v>45919.100277777776</v>
      </c>
      <c r="C312" s="5" t="s">
        <v>7</v>
      </c>
      <c r="D312" s="6" t="str">
        <f>HYPERLINK("https://mail.google.com/mail?extsrc=sync&amp;client=docs&amp;plid=ACUX6DOjEz64YTILF8AYrrGkkrBRsRii84rRY9s", "Fwd: Delivery Status Notification (Failure)")</f>
        <v>Fwd: Delivery Status Notification (Failure)</v>
      </c>
      <c r="E312" s="6" t="str">
        <f>HYPERLINK("https://drive.google.com/file/d/12yaW9Kv-RcmSYwxMEtyJZbhb_RJG7ymO/view", "Fwd Delivery Status Notification (Failure).pdf")</f>
        <v>Fwd Delivery Status Notification (Failure).pdf</v>
      </c>
      <c r="F31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2" s="5"/>
    </row>
    <row r="313" ht="15.75" customHeight="1">
      <c r="A313" s="4">
        <v>45936.579208310184</v>
      </c>
      <c r="B313" s="4">
        <v>45922.72605324074</v>
      </c>
      <c r="C313" s="5" t="s">
        <v>8</v>
      </c>
      <c r="D313" s="6" t="str">
        <f>HYPERLINK("https://mail.google.com/mail?extsrc=sync&amp;client=docs&amp;plid=ACUX6DNS50Iaz6pTpFUOkKpimM6p972-AXpSaNU", "Re: 5132 Rosemead Boulevard Lease Status - Response Requested - Claim # 7579F404C")</f>
        <v>Re: 5132 Rosemead Boulevard Lease Status - Response Requested - Claim # 7579F404C</v>
      </c>
      <c r="E313" s="6" t="str">
        <f>HYPERLINK("https://drive.google.com/file/d/1JdgVD25SWfe66zZfxXw4f4nF3M5KAbaq/view", "Re 5132 Rosemead Boulevard Lease Status - Response Requested - Claim # 7579F404C.pdf")</f>
        <v>Re 5132 Rosemead Boulevard Lease Status - Response Requested - Claim # 7579F404C.pdf</v>
      </c>
      <c r="F31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3" s="5"/>
    </row>
    <row r="314" ht="15.75" customHeight="1">
      <c r="A314" s="4">
        <v>45936.57918302083</v>
      </c>
      <c r="B314" s="4">
        <v>45922.72552083334</v>
      </c>
      <c r="C314" s="5" t="s">
        <v>8</v>
      </c>
      <c r="D314" s="6" t="str">
        <f>HYPERLINK("https://mail.google.com/mail?extsrc=sync&amp;client=docs&amp;plid=ACUX6DNS50Iaz6pTpFUOkKpimM6p972-AXpSaNU", "Fwd: 5132 Rosemead Boulevard Lease Status - Response Requested - Claim # 7579F404C")</f>
        <v>Fwd: 5132 Rosemead Boulevard Lease Status - Response Requested - Claim # 7579F404C</v>
      </c>
      <c r="E314" s="6" t="str">
        <f>HYPERLINK("https://drive.google.com/file/d/1cgaiLLGS2Qz-L1Abe9XxFLqyPWkPafzq/view", "Fwd 5132 Rosemead Boulevard Lease Status - Response Requested - Claim # 7579F404C.pdf")</f>
        <v>Fwd 5132 Rosemead Boulevard Lease Status - Response Requested - Claim # 7579F404C.pdf</v>
      </c>
      <c r="F31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4" s="5"/>
    </row>
    <row r="315" ht="15.75" customHeight="1">
      <c r="A315" s="4">
        <v>45936.579154085644</v>
      </c>
      <c r="B315" s="4">
        <v>45919.62574074074</v>
      </c>
      <c r="C315" s="5" t="s">
        <v>7</v>
      </c>
      <c r="D315" s="6" t="str">
        <f>HYPERLINK("https://mail.google.com/mail?extsrc=sync&amp;client=docs&amp;plid=ACUX6DMBNc9Q74hHa_fq2hNkxO1J02JxZml2Dog", "Fwd: Automatic reply: New Entry: Contact Us - Altadena Station")</f>
        <v>Fwd: Automatic reply: New Entry: Contact Us - Altadena Station</v>
      </c>
      <c r="E315" s="6" t="str">
        <f>HYPERLINK("https://drive.google.com/file/d/15WHwT4K9hkcNcUietoviFFscxFXi4pzb/view", "Fwd Automatic reply New Entry Contact Us - Altadena Station.pdf")</f>
        <v>Fwd Automatic reply New Entry Contact Us - Altadena Station.pdf</v>
      </c>
      <c r="F31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5" s="5"/>
    </row>
    <row r="316" ht="15.75" customHeight="1">
      <c r="A316" s="4">
        <v>45936.579126701385</v>
      </c>
      <c r="B316" s="4">
        <v>45919.645949074074</v>
      </c>
      <c r="C316" s="5" t="s">
        <v>7</v>
      </c>
      <c r="D316" s="6" t="str">
        <f>HYPERLINK("https://mail.google.com/mail?extsrc=sync&amp;client=docs&amp;plid=ACUX6DPakzkUDlZ4VzQpdioYneClBrncty2tbfo", "Fwd: Request for Advocate Support - DV Case 25PDRO01246")</f>
        <v>Fwd: Request for Advocate Support - DV Case 25PDRO01246</v>
      </c>
      <c r="E316" s="6" t="str">
        <f>HYPERLINK("https://drive.google.com/file/d/10Qm96zm2oQFXjBZ-ANIOqIDaRzhCN9Ok/view", "Fwd Request for Advocate Support - DV Case 25PDRO01246.pdf")</f>
        <v>Fwd Request for Advocate Support - DV Case 25PDRO01246.pdf</v>
      </c>
      <c r="F31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6" s="5"/>
    </row>
    <row r="317" ht="15.75" customHeight="1">
      <c r="A317" s="4">
        <v>45936.57884819445</v>
      </c>
      <c r="B317" s="4">
        <v>45922.73200231481</v>
      </c>
      <c r="C317" s="5" t="s">
        <v>7</v>
      </c>
      <c r="D317" s="6" t="str">
        <f>HYPERLINK("https://mail.google.com/mail?extsrc=sync&amp;client=docs&amp;plid=ACUX6DP8zuCV-i7YcuVMde56DadGwjMqmOLvlT0", "just open this and scroll you’ll see there’s a whole bunch of emails forwarded #1/3")</f>
        <v>just open this and scroll you’ll see there’s a whole bunch of emails forwarded #1/3</v>
      </c>
      <c r="E317" s="6" t="str">
        <f>HYPERLINK("https://drive.google.com/file/d/1xHGIOJ_HVLRXVw0OnlrwJZfCStlRzo_D/view", "81608.jpg")</f>
        <v>81608.jpg</v>
      </c>
      <c r="F31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7" s="5"/>
    </row>
    <row r="318" ht="15.75" customHeight="1">
      <c r="A318" s="4">
        <v>45936.57884891204</v>
      </c>
      <c r="B318" s="4">
        <v>45922.73200231481</v>
      </c>
      <c r="C318" s="5" t="s">
        <v>7</v>
      </c>
      <c r="D318" s="6" t="str">
        <f>HYPERLINK("https://mail.google.com/mail?extsrc=sync&amp;client=docs&amp;plid=ACUX6DP8zuCV-i7YcuVMde56DadGwjMqmOLvlT0", "just open this and scroll you’ll see there’s a whole bunch of emails forwarded #2/3")</f>
        <v>just open this and scroll you’ll see there’s a whole bunch of emails forwarded #2/3</v>
      </c>
      <c r="E318" s="6" t="str">
        <f>HYPERLINK("https://drive.google.com/file/d/13-vzXmuA2JTS77tprl5hiZiD-K79P5zY/view", "95294.jpg")</f>
        <v>95294.jpg</v>
      </c>
      <c r="F31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8" s="5"/>
    </row>
    <row r="319" ht="15.75" customHeight="1">
      <c r="A319" s="4">
        <v>45936.57884891204</v>
      </c>
      <c r="B319" s="4">
        <v>45922.73200231481</v>
      </c>
      <c r="C319" s="5" t="s">
        <v>7</v>
      </c>
      <c r="D319" s="6" t="str">
        <f>HYPERLINK("https://mail.google.com/mail?extsrc=sync&amp;client=docs&amp;plid=ACUX6DP8zuCV-i7YcuVMde56DadGwjMqmOLvlT0", "just open this and scroll you’ll see there’s a whole bunch of emails forwarded #3/3")</f>
        <v>just open this and scroll you’ll see there’s a whole bunch of emails forwarded #3/3</v>
      </c>
      <c r="E319" s="6" t="str">
        <f>HYPERLINK("https://drive.google.com/file/d/12eP4cppiefLCSQQpx9D_oPIzkgj_m8J_/view", "Screenshot 2025-08-13 at 11.06.56 AM.jpeg")</f>
        <v>Screenshot 2025-08-13 at 11.06.56 AM.jpeg</v>
      </c>
      <c r="F31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19" s="5"/>
    </row>
    <row r="320" ht="15.75" customHeight="1">
      <c r="A320" s="4">
        <v>45936.57889326389</v>
      </c>
      <c r="B320" s="4">
        <v>45922.73200231481</v>
      </c>
      <c r="C320" s="5" t="s">
        <v>7</v>
      </c>
      <c r="D320" s="6" t="str">
        <f>HYPERLINK("https://mail.google.com/mail?extsrc=sync&amp;client=docs&amp;plid=ACUX6DP8zuCV-i7YcuVMde56DadGwjMqmOLvlT0", "just open this and scroll you’ll see there’s a whole bunch of emails forwarded")</f>
        <v>just open this and scroll you’ll see there’s a whole bunch of emails forwarded</v>
      </c>
      <c r="E320" s="6" t="str">
        <f>HYPERLINK("https://drive.google.com/file/d/1t6bX5Kd0KiykNMkr8n1qjj_Ai7NZNlIQ/view", "just open this and scroll you’ll see there’s a whole bunch of emails forwarded.pdf")</f>
        <v>just open this and scroll you’ll see there’s a whole bunch of emails forwarded.pdf</v>
      </c>
      <c r="F32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0" s="5"/>
    </row>
    <row r="321" ht="15.75" customHeight="1">
      <c r="A321" s="4">
        <v>45936.57873565972</v>
      </c>
      <c r="B321" s="4">
        <v>45923.6075462963</v>
      </c>
      <c r="C321" s="5" t="s">
        <v>8</v>
      </c>
      <c r="D321" s="6" t="str">
        <f t="shared" ref="D321:D322" si="57">HYPERLINK("https://mail.google.com/mail?extsrc=sync&amp;client=docs&amp;plid=ACUX6DMyQbxLHw3JZIXLcaBTY200ooOdo-qDpYY", "Fwd: 5132 Rosemead Boulevard/ SAYEGH, FAHED")</f>
        <v>Fwd: 5132 Rosemead Boulevard/ SAYEGH, FAHED</v>
      </c>
      <c r="E321" s="6" t="str">
        <f>HYPERLINK("https://drive.google.com/file/d/1x0NWJ49J2U31xNXauRnwhLwXKtLc5hPn/view", "image001.jpg")</f>
        <v>image001.jpg</v>
      </c>
      <c r="F32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1" s="5"/>
    </row>
    <row r="322" ht="15.75" customHeight="1">
      <c r="A322" s="4">
        <v>45936.57876903935</v>
      </c>
      <c r="B322" s="4">
        <v>45923.6075462963</v>
      </c>
      <c r="C322" s="5" t="s">
        <v>8</v>
      </c>
      <c r="D322" s="6" t="str">
        <f t="shared" si="57"/>
        <v>Fwd: 5132 Rosemead Boulevard/ SAYEGH, FAHED</v>
      </c>
      <c r="E322" s="6" t="str">
        <f>HYPERLINK("https://drive.google.com/file/d/1DvyLwm0sth9qfy3ucs_BWO95vmUltwBx/view", "Fwd 5132 Rosemead Boulevard SAYEGH, FAHED.pdf")</f>
        <v>Fwd 5132 Rosemead Boulevard SAYEGH, FAHED.pdf</v>
      </c>
      <c r="F32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2" s="5"/>
    </row>
    <row r="323" ht="15.75" customHeight="1">
      <c r="A323" s="4">
        <v>45936.578700937505</v>
      </c>
      <c r="B323" s="4">
        <v>45924.02935185185</v>
      </c>
      <c r="C323" s="5" t="s">
        <v>7</v>
      </c>
      <c r="D323" s="6" t="str">
        <f>HYPERLINK("https://mail.google.com/mail?extsrc=sync&amp;client=docs&amp;plid=ACUX6DNMzPvq2-bwwtfhdjt1YHKytCu6P7ur3jo", "Middle East Eye on Instagram: '“Can there be peace in a world where children die from hunger and lack of medicine?” Turkish President Recep Tayyip Erdogan, holding photographs from Gaza at the UN General Assembly on Tuesday, questioned global silence rega"&amp;"rding Israel’s ongoing genocide against Palestinians. Erdogan also emphasised that while Israel has “closed all the entrances to Gaza, they still haven’t been able to cover up the genocide” even after killing more than 250 journalists. He stated that Isra"&amp;"el’s actions in Gaza under the pretext of the events of 7 October 2023 are not counterterrorism, it is “a policy of deportation, exile, genocide, and mass slaughter.”'")</f>
        <v>Middle East Eye on Instagram: '“Can there be peace in a world where children die from hunger and lack of medicine?” Turkish President Recep Tayyip Erdogan, holding photographs from Gaza at the UN General Assembly on Tuesday, questioned global silence regarding Israel’s ongoing genocide against Palestinians. Erdogan also emphasised that while Israel has “closed all the entrances to Gaza, they still haven’t been able to cover up the genocide” even after killing more than 250 journalists. He stated that Israel’s actions in Gaza under the pretext of the events of 7 October 2023 are not counterterrorism, it is “a policy of deportation, exile, genocide, and mass slaughter.”'</v>
      </c>
      <c r="E323" s="6" t="str">
        <f>HYPERLINK("https://drive.google.com/file/d/1va9Ji4nyH6RlvYpp1ud01EpHuYmmAFH7/view", "Middle East Eye on Instagram “Can there be peace in a world where children die from hunger and lack of medicine” Turkish President Recep Tayyip Erdogan, holding photographs from Gaza at the UN General Assembly on Tuesday, questioned global silence regardi"&amp;"ng Israel’s ongoing genocide against Palestinians. Erdogan also emphasised that while Israel has “closed all the entrances to Gaza, they still haven’t been able to cover up the genocide” even after killing more than 250 journalists. He stated that Israel’"&amp;"s actions in Gaza under the pretext of the events of 7 October 2023 are not counterterrorism, it is “a policy of deportation, exile, genocide, and mass slaughter.”.pdf")</f>
        <v>Middle East Eye on Instagram “Can there be peace in a world where children die from hunger and lack of medicine” Turkish President Recep Tayyip Erdogan, holding photographs from Gaza at the UN General Assembly on Tuesday, questioned global silence regarding Israel’s ongoing genocide against Palestinians. Erdogan also emphasised that while Israel has “closed all the entrances to Gaza, they still haven’t been able to cover up the genocide” even after killing more than 250 journalists. He stated that Israel’s actions in Gaza under the pretext of the events of 7 October 2023 are not counterterrorism, it is “a policy of deportation, exile, genocide, and mass slaughter.”.pdf</v>
      </c>
      <c r="F32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3" s="5"/>
    </row>
    <row r="324" ht="15.75" customHeight="1">
      <c r="A324" s="4">
        <v>45936.57852019676</v>
      </c>
      <c r="B324" s="4">
        <v>45926.03469907407</v>
      </c>
      <c r="C324" s="5" t="s">
        <v>7</v>
      </c>
      <c r="D324" s="6" t="str">
        <f t="shared" ref="D324:D325" si="58">HYPERLINK("https://mail.google.com/mail?extsrc=sync&amp;client=docs&amp;plid=ACUX6DNyUiFoktzQtxqCsdfPxWhLVWSIB0ab5SM", "The reality of what I can do tonight")</f>
        <v>The reality of what I can do tonight</v>
      </c>
      <c r="E324" s="6" t="str">
        <f>HYPERLINK("https://drive.google.com/file/d/1DtLiNoN-OO7W2hIaSD_5OxW9Zj4zXaEZ/view", "27318.jpg")</f>
        <v>27318.jpg</v>
      </c>
      <c r="F32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4" s="5"/>
    </row>
    <row r="325" ht="15.75" customHeight="1">
      <c r="A325" s="4">
        <v>45936.57866436343</v>
      </c>
      <c r="B325" s="4">
        <v>45926.03469907407</v>
      </c>
      <c r="C325" s="5" t="s">
        <v>7</v>
      </c>
      <c r="D325" s="6" t="str">
        <f t="shared" si="58"/>
        <v>The reality of what I can do tonight</v>
      </c>
      <c r="E325" s="6" t="str">
        <f>HYPERLINK("https://drive.google.com/file/d/17jNhleVl9hkMq-rjTjiYHiAxJzH0ILic/view", "The reality of what I can do tonight.pdf")</f>
        <v>The reality of what I can do tonight.pdf</v>
      </c>
      <c r="F32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5" s="5"/>
    </row>
    <row r="326" ht="15.75" customHeight="1">
      <c r="A326" s="4">
        <v>45936.578482094905</v>
      </c>
      <c r="B326" s="4">
        <v>45924.85350694445</v>
      </c>
      <c r="C326" s="5" t="s">
        <v>7</v>
      </c>
      <c r="D326" s="6" t="str">
        <f>HYPERLINK("https://mail.google.com/mail?extsrc=sync&amp;client=docs&amp;plid=ACUX6DPjl8T0IDvykN8TiPi450RdV6hdNNQXIfU", "Re: Clear, simple plan from today’s messages")</f>
        <v>Re: Clear, simple plan from today’s messages</v>
      </c>
      <c r="E326" s="6" t="str">
        <f>HYPERLINK("https://drive.google.com/file/d/1k91J1O1V3sGJS4favFHWb4ByDzN_RLKQ/view", "Re Clear, simple plan from today’s messages.pdf")</f>
        <v>Re Clear, simple plan from today’s messages.pdf</v>
      </c>
      <c r="F32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6" s="5"/>
    </row>
    <row r="327" ht="15.75" customHeight="1">
      <c r="A327" s="4">
        <v>45936.57840439815</v>
      </c>
      <c r="B327" s="4">
        <v>45923.610289351855</v>
      </c>
      <c r="C327" s="5" t="s">
        <v>8</v>
      </c>
      <c r="D327" s="6" t="str">
        <f t="shared" ref="D327:D328" si="59">HYPERLINK("https://mail.google.com/mail?extsrc=sync&amp;client=docs&amp;plid=ACUX6DOCUmudqytUudhiYKP0-6gHNkd-bJBirqM", "Fwd: Property list")</f>
        <v>Fwd: Property list</v>
      </c>
      <c r="E327" s="6" t="str">
        <f>HYPERLINK("https://drive.google.com/file/d/1XK6whD2AmC_gJfuNH6BeAiLgizgABC3t/view", "Property List-31425NP (1).pdf")</f>
        <v>Property List-31425NP (1).pdf</v>
      </c>
      <c r="F32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7" s="5"/>
    </row>
    <row r="328" ht="15.75" customHeight="1">
      <c r="A328" s="4">
        <v>45936.57843167824</v>
      </c>
      <c r="B328" s="4">
        <v>45923.610289351855</v>
      </c>
      <c r="C328" s="5" t="s">
        <v>8</v>
      </c>
      <c r="D328" s="6" t="str">
        <f t="shared" si="59"/>
        <v>Fwd: Property list</v>
      </c>
      <c r="E328" s="6" t="str">
        <f>HYPERLINK("https://drive.google.com/file/d/16l3exW8IZgS5bGkDfzfSROX5-WaZlPIX/view", "Fwd Property list.pdf")</f>
        <v>Fwd Property list.pdf</v>
      </c>
      <c r="F32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8" s="5"/>
    </row>
    <row r="329" ht="15.75" customHeight="1">
      <c r="A329" s="4">
        <v>45936.57837162037</v>
      </c>
      <c r="B329" s="4">
        <v>45926.448854166665</v>
      </c>
      <c r="C329" s="5" t="s">
        <v>7</v>
      </c>
      <c r="D329" s="6" t="str">
        <f>HYPERLINK("https://mail.google.com/mail?extsrc=sync&amp;client=docs&amp;plid=ACUX6DPJOnspUePE50iV2bRdibM_IIbU4XtmWzk", "Fwd: Complete with Docusign: Maknouni Family Law Firm Retainer Agreement ,.pdf")</f>
        <v>Fwd: Complete with Docusign: Maknouni Family Law Firm Retainer Agreement ,.pdf</v>
      </c>
      <c r="E329" s="6" t="str">
        <f>HYPERLINK("https://drive.google.com/file/d/1Ls9kRgpNlhKfiQXIUKV0LR0hulEJCYA0/view", "Fwd Complete with Docusign Maknouni Family Law Firm Retainer Agreement ,.pdf.pdf")</f>
        <v>Fwd Complete with Docusign Maknouni Family Law Firm Retainer Agreement ,.pdf.pdf</v>
      </c>
      <c r="F32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29" s="5"/>
    </row>
    <row r="330" ht="15.75" customHeight="1">
      <c r="A330" s="4">
        <v>45936.578317685184</v>
      </c>
      <c r="B330" s="4">
        <v>45923.604212962964</v>
      </c>
      <c r="C330" s="5" t="s">
        <v>7</v>
      </c>
      <c r="D330" s="6" t="str">
        <f t="shared" ref="D330:D332" si="60">HYPERLINK("https://mail.google.com/mail?extsrc=sync&amp;client=docs&amp;plid=ACUX6DNqJwoK2BmvD1S7M_Fv1a4XPFpc91czzk4", "Re: properties belong to John A Pong family")</f>
        <v>Re: properties belong to John A Pong family</v>
      </c>
      <c r="E330" s="6" t="str">
        <f>HYPERLINK("https://drive.google.com/file/d/1LWBz2l_4QQ2jjya11t1iSz1F731VYu8q/view", "Re properties belong to John A Pong family.pdf")</f>
        <v>Re properties belong to John A Pong family.pdf</v>
      </c>
      <c r="F33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0" s="5"/>
    </row>
    <row r="331" ht="15.75" customHeight="1">
      <c r="A331" s="4">
        <v>45936.57828997685</v>
      </c>
      <c r="B331" s="4">
        <v>45923.60025462963</v>
      </c>
      <c r="C331" s="5" t="s">
        <v>7</v>
      </c>
      <c r="D331" s="6" t="str">
        <f t="shared" si="60"/>
        <v>Re: properties belong to John A Pong family</v>
      </c>
      <c r="E331" s="6" t="str">
        <f>HYPERLINK("https://drive.google.com/file/d/1mD5_rOPFrqabzw8xIx9yU_1rqzfjw-EE/view", "Re properties belong to John A Pong family.pdf")</f>
        <v>Re properties belong to John A Pong family.pdf</v>
      </c>
      <c r="F33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1" s="5"/>
    </row>
    <row r="332" ht="15.75" customHeight="1">
      <c r="A332" s="4">
        <v>45936.5782484838</v>
      </c>
      <c r="B332" s="4">
        <v>45923.600763888884</v>
      </c>
      <c r="C332" s="5" t="s">
        <v>7</v>
      </c>
      <c r="D332" s="6" t="str">
        <f t="shared" si="60"/>
        <v>Re: properties belong to John A Pong family</v>
      </c>
      <c r="E332" s="6" t="str">
        <f>HYPERLINK("https://drive.google.com/file/d/13BYFs-H0XZVyoQdlBbc4-uZFzlQ6MbaU/view", "Re properties belong to John A Pong family.pdf")</f>
        <v>Re properties belong to John A Pong family.pdf</v>
      </c>
      <c r="F33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2" s="5"/>
    </row>
    <row r="333" ht="15.75" customHeight="1">
      <c r="A333" s="4">
        <v>45936.578213796296</v>
      </c>
      <c r="B333" s="4">
        <v>45923.51828703703</v>
      </c>
      <c r="C333" s="5" t="s">
        <v>7</v>
      </c>
      <c r="D333" s="6" t="str">
        <f>HYPERLINK("https://mail.google.com/mail?extsrc=sync&amp;client=docs&amp;plid=ACUX6DMl8R6EIuQ3FYNhpWf6v73jXLFG63byk9U", "Research on Kevin Chen ownership that property that you showed me is absolutely shit by the way")</f>
        <v>Research on Kevin Chen ownership that property that you showed me is absolutely shit by the way</v>
      </c>
      <c r="E333" s="6" t="str">
        <f>HYPERLINK("https://drive.google.com/file/d/1VGDwG1z_kVzW6MutTLNJ13u8rn1R0ERF/view", "Research on Kevin Chen ownership that property that you showed me is absolutely shit by the way.pdf")</f>
        <v>Research on Kevin Chen ownership that property that you showed me is absolutely shit by the way.pdf</v>
      </c>
      <c r="F33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3" s="5"/>
    </row>
    <row r="334" ht="15.75" customHeight="1">
      <c r="A334" s="4">
        <v>45936.57817628472</v>
      </c>
      <c r="B334" s="4">
        <v>45923.63928240741</v>
      </c>
      <c r="C334" s="5" t="s">
        <v>8</v>
      </c>
      <c r="D334" s="6" t="str">
        <f>HYPERLINK("https://mail.google.com/mail?extsrc=sync&amp;client=docs&amp;plid=ACUX6DNxEXz1yxIEl1PY11mPSIyVWVLOZqdFHSw", "Kevin Chen! I just ran into this as I was looking for my stuff")</f>
        <v>Kevin Chen! I just ran into this as I was looking for my stuff</v>
      </c>
      <c r="E334" s="6" t="str">
        <f>HYPERLINK("https://drive.google.com/file/d/1gjJve0HrHMKSRiRQEk2VXK9wovc7ap-N/view", "Res LeaseMonth-to-Month Rental Agmt - 1224.pdf")</f>
        <v>Res LeaseMonth-to-Month Rental Agmt - 1224.pdf</v>
      </c>
      <c r="F33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4" s="5"/>
    </row>
    <row r="335" ht="15.75" customHeight="1">
      <c r="A335" s="4">
        <v>45936.57814600694</v>
      </c>
      <c r="B335" s="4">
        <v>45923.616006944445</v>
      </c>
      <c r="C335" s="5" t="s">
        <v>7</v>
      </c>
      <c r="D335" s="6" t="str">
        <f>HYPERLINK("https://mail.google.com/mail?extsrc=sync&amp;client=docs&amp;plid=ACUX6DPb8FHKIGpSslTfuFZlUU6b0JdYEf8mM64", "Di Chen Property Rental Investigation: Evidence of Potential Housing Scam in San Gabriel Valley")</f>
        <v>Di Chen Property Rental Investigation: Evidence of Potential Housing Scam in San Gabriel Valley</v>
      </c>
      <c r="E335" s="6" t="str">
        <f>HYPERLINK("https://drive.google.com/file/d/1iFLxSMDcbpLXw-P6RnXDE3Wnqzwx0F8S/view", "Di Chen Property Rental Investigation Evidence of Potential Housing Scam in San Gabriel Valley.pdf")</f>
        <v>Di Chen Property Rental Investigation Evidence of Potential Housing Scam in San Gabriel Valley.pdf</v>
      </c>
      <c r="F33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5" s="5"/>
    </row>
    <row r="336" ht="15.75" customHeight="1">
      <c r="A336" s="4">
        <v>45936.578081134256</v>
      </c>
      <c r="B336" s="4">
        <v>45923.84001157407</v>
      </c>
      <c r="C336" s="5" t="s">
        <v>7</v>
      </c>
      <c r="D336" s="6" t="str">
        <f t="shared" ref="D336:D337" si="61">HYPERLINK("https://mail.google.com/mail?extsrc=sync&amp;client=docs&amp;plid=ACUX6DNDI97HBK1up6veRCBk6obiBVXpnrcfZiQ", "")</f>
        <v/>
      </c>
      <c r="E336" s="6" t="str">
        <f>HYPERLINK("https://drive.google.com/file/d/1HYEkYCyJTKkfJfTZeuYFFerIQdXjs86v/view", "IMG_5071.jpeg")</f>
        <v>IMG_5071.jpeg</v>
      </c>
      <c r="F33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6" s="5"/>
    </row>
    <row r="337" ht="15.75" customHeight="1">
      <c r="A337" s="4">
        <v>45936.578099039354</v>
      </c>
      <c r="B337" s="4">
        <v>45923.84001157407</v>
      </c>
      <c r="C337" s="5" t="s">
        <v>7</v>
      </c>
      <c r="D337" s="6" t="str">
        <f t="shared" si="61"/>
        <v/>
      </c>
      <c r="E337" s="6" t="str">
        <f>HYPERLINK("https://drive.google.com/file/d/1quPC7MGyK10BsCo8R4bsaf-144o15kzr/view", "1759783946605.pdf")</f>
        <v>1759783946605.pdf</v>
      </c>
      <c r="F33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7" s="5"/>
    </row>
    <row r="338" ht="15.75" customHeight="1">
      <c r="A338" s="4">
        <v>45936.57803130787</v>
      </c>
      <c r="B338" s="4">
        <v>45923.612546296295</v>
      </c>
      <c r="C338" s="5" t="s">
        <v>7</v>
      </c>
      <c r="D338" s="6" t="str">
        <f>HYPERLINK("https://mail.google.com/mail?extsrc=sync&amp;client=docs&amp;plid=ACUX6DPxCq5BYE6E30dPEgiKXEeQUnh-xuAax28", "Fwd: Bruce")</f>
        <v>Fwd: Bruce</v>
      </c>
      <c r="E338" s="6" t="str">
        <f>HYPERLINK("https://drive.google.com/file/d/1ZzfMCF_X5T6ULBp4FVmDU0KGedwqNFxU/view", "Fwd Bruce.pdf")</f>
        <v>Fwd Bruce.pdf</v>
      </c>
      <c r="F33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8" s="5"/>
    </row>
    <row r="339" ht="15.75" customHeight="1">
      <c r="A339" s="4">
        <v>45936.57800121528</v>
      </c>
      <c r="B339" s="4">
        <v>45923.63556712963</v>
      </c>
      <c r="C339" s="5" t="s">
        <v>7</v>
      </c>
      <c r="D339" s="6" t="str">
        <f>HYPERLINK("https://mail.google.com/mail?extsrc=sync&amp;client=docs&amp;plid=ACUX6DNsKND26bHbvkHeEiMDAsI1HSMSGqzkr9o", "EIN Number Foxx Law Group-")</f>
        <v>EIN Number Foxx Law Group-</v>
      </c>
      <c r="E339" s="6" t="str">
        <f>HYPERLINK("https://drive.google.com/file/d/1JgZ-DGWG10kZXAtzEzkByXxTtZLX63Jy/view", "EIN Number Foxx Law Group-.pdf")</f>
        <v>EIN Number Foxx Law Group-.pdf</v>
      </c>
      <c r="F33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39" s="5"/>
    </row>
    <row r="340" ht="15.75" customHeight="1">
      <c r="A340" s="4">
        <v>45936.57797467592</v>
      </c>
      <c r="B340" s="4">
        <v>45924.73299768519</v>
      </c>
      <c r="C340" s="5" t="s">
        <v>7</v>
      </c>
      <c r="D340" s="6" t="str">
        <f>HYPERLINK("https://mail.google.com/mail?extsrc=sync&amp;client=docs&amp;plid=ACUX6DOSmosLDL8F6HLOAZ7UEMSMNtQotLwvXu4", "This Attorney said yes he but it’s $9000 retainer Criminal Defense Attorney | California | Esfandi Law Group Criminal Defense Attorneys")</f>
        <v>This Attorney said yes he but it’s $9000 retainer Criminal Defense Attorney | California | Esfandi Law Group Criminal Defense Attorneys</v>
      </c>
      <c r="E340" s="6" t="str">
        <f>HYPERLINK("https://drive.google.com/file/d/1oE2eXlkhX8o0anRsMO8ahU_62RgEsSF5/view", "This Attorney said yes he but it’s $9000 retainer Criminal Defense Attorney  California  Esfandi Law Group Criminal Defense Attorneys.pdf")</f>
        <v>This Attorney said yes he but it’s $9000 retainer Criminal Defense Attorney  California  Esfandi Law Group Criminal Defense Attorneys.pdf</v>
      </c>
      <c r="F34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0" s="5"/>
    </row>
    <row r="341" ht="15.75" customHeight="1">
      <c r="A341" s="4">
        <v>45936.577924363424</v>
      </c>
      <c r="B341" s="4">
        <v>45924.88105324074</v>
      </c>
      <c r="C341" s="5" t="s">
        <v>7</v>
      </c>
      <c r="D341" s="6" t="str">
        <f>HYPERLINK("https://mail.google.com/mail?extsrc=sync&amp;client=docs&amp;plid=ACUX6DMsp3TWZpQWXzLLqVGtW08KS8yCdImkWcc", "Check out this great place to stay in Los Angeles")</f>
        <v>Check out this great place to stay in Los Angeles</v>
      </c>
      <c r="E341" s="6" t="str">
        <f>HYPERLINK("https://drive.google.com/file/d/1mLUPyA0Hnm99jw4eZO242e_0K3-h2dO4/view", "Check out this great place to stay in Los Angeles.pdf")</f>
        <v>Check out this great place to stay in Los Angeles.pdf</v>
      </c>
      <c r="F34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1" s="5"/>
    </row>
    <row r="342" ht="15.75" customHeight="1">
      <c r="A342" s="4">
        <v>45936.577821875</v>
      </c>
      <c r="B342" s="4">
        <v>45923.60577546296</v>
      </c>
      <c r="C342" s="5" t="s">
        <v>7</v>
      </c>
      <c r="D342" s="6" t="str">
        <f>HYPERLINK("https://mail.google.com/mail?extsrc=sync&amp;client=docs&amp;plid=ACUX6DN2I5zMANOZNAzWH-S8HWd4cn69HpY6bKE", "Text messages between Bruce and I #1/17")</f>
        <v>Text messages between Bruce and I #1/17</v>
      </c>
      <c r="E342" s="6" t="str">
        <f>HYPERLINK("https://drive.google.com/file/d/1u5qF8B5Vj3IlsQ1_p-K6B3O96rmiq491/view", "IMG_4971.PNG")</f>
        <v>IMG_4971.PNG</v>
      </c>
      <c r="F34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2" s="5"/>
    </row>
    <row r="343" ht="15.75" customHeight="1">
      <c r="A343" s="4">
        <v>45936.57782322916</v>
      </c>
      <c r="B343" s="4">
        <v>45923.60577546296</v>
      </c>
      <c r="C343" s="5" t="s">
        <v>7</v>
      </c>
      <c r="D343" s="6" t="str">
        <f>HYPERLINK("https://mail.google.com/mail?extsrc=sync&amp;client=docs&amp;plid=ACUX6DN2I5zMANOZNAzWH-S8HWd4cn69HpY6bKE", "Text messages between Bruce and I #2/17")</f>
        <v>Text messages between Bruce and I #2/17</v>
      </c>
      <c r="E343" s="6" t="str">
        <f>HYPERLINK("https://drive.google.com/file/d/1WVp9JRQcLoo7XXi692wWsbwxdaysH8QS/view", "IMG_4968.PNG")</f>
        <v>IMG_4968.PNG</v>
      </c>
      <c r="F34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3" s="5"/>
    </row>
    <row r="344" ht="15.75" customHeight="1">
      <c r="A344" s="4">
        <v>45936.57782346065</v>
      </c>
      <c r="B344" s="4">
        <v>45923.60577546296</v>
      </c>
      <c r="C344" s="5" t="s">
        <v>7</v>
      </c>
      <c r="D344" s="6" t="str">
        <f>HYPERLINK("https://mail.google.com/mail?extsrc=sync&amp;client=docs&amp;plid=ACUX6DN2I5zMANOZNAzWH-S8HWd4cn69HpY6bKE", "Text messages between Bruce and I #3/17")</f>
        <v>Text messages between Bruce and I #3/17</v>
      </c>
      <c r="E344" s="6" t="str">
        <f>HYPERLINK("https://drive.google.com/file/d/1zLJMRcLa304EXsFKRh_M9ieHE8e8BXm4/view", "IMG_4974.PNG")</f>
        <v>IMG_4974.PNG</v>
      </c>
      <c r="F34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4" s="5"/>
    </row>
    <row r="345" ht="15.75" customHeight="1">
      <c r="A345" s="4">
        <v>45936.57782398148</v>
      </c>
      <c r="B345" s="4">
        <v>45923.60577546296</v>
      </c>
      <c r="C345" s="5" t="s">
        <v>7</v>
      </c>
      <c r="D345" s="6" t="str">
        <f>HYPERLINK("https://mail.google.com/mail?extsrc=sync&amp;client=docs&amp;plid=ACUX6DN2I5zMANOZNAzWH-S8HWd4cn69HpY6bKE", "Text messages between Bruce and I #4/17")</f>
        <v>Text messages between Bruce and I #4/17</v>
      </c>
      <c r="E345" s="6" t="str">
        <f>HYPERLINK("https://drive.google.com/file/d/12uysVlUhNaBuQAPZELZi18Gyg1nRxAPB/view", "IMG_4972.PNG")</f>
        <v>IMG_4972.PNG</v>
      </c>
      <c r="F34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5" s="5"/>
    </row>
    <row r="346" ht="15.75" customHeight="1">
      <c r="A346" s="4">
        <v>45936.5778240162</v>
      </c>
      <c r="B346" s="4">
        <v>45923.60577546296</v>
      </c>
      <c r="C346" s="5" t="s">
        <v>7</v>
      </c>
      <c r="D346" s="6" t="str">
        <f>HYPERLINK("https://mail.google.com/mail?extsrc=sync&amp;client=docs&amp;plid=ACUX6DN2I5zMANOZNAzWH-S8HWd4cn69HpY6bKE", "Text messages between Bruce and I #5/17")</f>
        <v>Text messages between Bruce and I #5/17</v>
      </c>
      <c r="E346" s="6" t="str">
        <f>HYPERLINK("https://drive.google.com/file/d/1Ezjajx1Tp4muBT6L2tO_5QIgSGOAKTnH/view", "IMG_4969.PNG")</f>
        <v>IMG_4969.PNG</v>
      </c>
      <c r="F34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6" s="5"/>
    </row>
    <row r="347" ht="15.75" customHeight="1">
      <c r="A347" s="4">
        <v>45936.57782414352</v>
      </c>
      <c r="B347" s="4">
        <v>45923.60577546296</v>
      </c>
      <c r="C347" s="5" t="s">
        <v>7</v>
      </c>
      <c r="D347" s="6" t="str">
        <f>HYPERLINK("https://mail.google.com/mail?extsrc=sync&amp;client=docs&amp;plid=ACUX6DN2I5zMANOZNAzWH-S8HWd4cn69HpY6bKE", "Text messages between Bruce and I #6/17")</f>
        <v>Text messages between Bruce and I #6/17</v>
      </c>
      <c r="E347" s="6" t="str">
        <f>HYPERLINK("https://drive.google.com/file/d/1ERZe8wjwyzUwdIa9CD5uIhUp4PGDDssJ/view", "IMG_4965.PNG")</f>
        <v>IMG_4965.PNG</v>
      </c>
      <c r="F34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7" s="5"/>
    </row>
    <row r="348" ht="15.75" customHeight="1">
      <c r="A348" s="4">
        <v>45936.57782428241</v>
      </c>
      <c r="B348" s="4">
        <v>45923.60577546296</v>
      </c>
      <c r="C348" s="5" t="s">
        <v>7</v>
      </c>
      <c r="D348" s="6" t="str">
        <f>HYPERLINK("https://mail.google.com/mail?extsrc=sync&amp;client=docs&amp;plid=ACUX6DN2I5zMANOZNAzWH-S8HWd4cn69HpY6bKE", "Text messages between Bruce and I #7/17")</f>
        <v>Text messages between Bruce and I #7/17</v>
      </c>
      <c r="E348" s="6" t="str">
        <f>HYPERLINK("https://drive.google.com/file/d/113LV3Kqi0KnTd72apj6HN149iy-TdNoH/view", "IMG_4970.PNG")</f>
        <v>IMG_4970.PNG</v>
      </c>
      <c r="F34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8" s="5"/>
    </row>
    <row r="349" ht="15.75" customHeight="1">
      <c r="A349" s="4">
        <v>45936.57782435185</v>
      </c>
      <c r="B349" s="4">
        <v>45923.60577546296</v>
      </c>
      <c r="C349" s="5" t="s">
        <v>7</v>
      </c>
      <c r="D349" s="6" t="str">
        <f>HYPERLINK("https://mail.google.com/mail?extsrc=sync&amp;client=docs&amp;plid=ACUX6DN2I5zMANOZNAzWH-S8HWd4cn69HpY6bKE", "Text messages between Bruce and I #8/17")</f>
        <v>Text messages between Bruce and I #8/17</v>
      </c>
      <c r="E349" s="6" t="str">
        <f>HYPERLINK("https://drive.google.com/file/d/1TeGVwbCHdOGPXCpDKegfDRhyTtZfIVSx/view", "IMG_4973.PNG")</f>
        <v>IMG_4973.PNG</v>
      </c>
      <c r="F34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49" s="5"/>
    </row>
    <row r="350" ht="15.75" customHeight="1">
      <c r="A350" s="4">
        <v>45936.57782438658</v>
      </c>
      <c r="B350" s="4">
        <v>45923.60577546296</v>
      </c>
      <c r="C350" s="5" t="s">
        <v>7</v>
      </c>
      <c r="D350" s="6" t="str">
        <f>HYPERLINK("https://mail.google.com/mail?extsrc=sync&amp;client=docs&amp;plid=ACUX6DN2I5zMANOZNAzWH-S8HWd4cn69HpY6bKE", "Text messages between Bruce and I #9/17")</f>
        <v>Text messages between Bruce and I #9/17</v>
      </c>
      <c r="E350" s="6" t="str">
        <f>HYPERLINK("https://drive.google.com/file/d/1s1MpGnC5Lg8tFBpRR8Bcj0mK37TZUQph/view", "IMG_4961.PNG")</f>
        <v>IMG_4961.PNG</v>
      </c>
      <c r="F35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0" s="5"/>
    </row>
    <row r="351" ht="15.75" customHeight="1">
      <c r="A351" s="4">
        <v>45936.57782456018</v>
      </c>
      <c r="B351" s="4">
        <v>45923.60577546296</v>
      </c>
      <c r="C351" s="5" t="s">
        <v>7</v>
      </c>
      <c r="D351" s="6" t="str">
        <f>HYPERLINK("https://mail.google.com/mail?extsrc=sync&amp;client=docs&amp;plid=ACUX6DN2I5zMANOZNAzWH-S8HWd4cn69HpY6bKE", "Text messages between Bruce and I #10/17")</f>
        <v>Text messages between Bruce and I #10/17</v>
      </c>
      <c r="E351" s="6" t="str">
        <f>HYPERLINK("https://drive.google.com/file/d/1eRzfIRElfn0u3Vksbbdt5w6R_GvfcJJX/view", "IMG_4962.PNG")</f>
        <v>IMG_4962.PNG</v>
      </c>
      <c r="F35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1" s="5"/>
    </row>
    <row r="352" ht="15.75" customHeight="1">
      <c r="A352" s="4">
        <v>45936.577824594904</v>
      </c>
      <c r="B352" s="4">
        <v>45923.60577546296</v>
      </c>
      <c r="C352" s="5" t="s">
        <v>7</v>
      </c>
      <c r="D352" s="6" t="str">
        <f>HYPERLINK("https://mail.google.com/mail?extsrc=sync&amp;client=docs&amp;plid=ACUX6DN2I5zMANOZNAzWH-S8HWd4cn69HpY6bKE", "Text messages between Bruce and I #11/17")</f>
        <v>Text messages between Bruce and I #11/17</v>
      </c>
      <c r="E352" s="6" t="str">
        <f>HYPERLINK("https://drive.google.com/file/d/14IPIKicyE4SbS4u8H7Im3mD06gUJKnXg/view", "IMG_4966.PNG")</f>
        <v>IMG_4966.PNG</v>
      </c>
      <c r="F35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2" s="5"/>
    </row>
    <row r="353" ht="15.75" customHeight="1">
      <c r="A353" s="4">
        <v>45936.577824629625</v>
      </c>
      <c r="B353" s="4">
        <v>45923.60577546296</v>
      </c>
      <c r="C353" s="5" t="s">
        <v>7</v>
      </c>
      <c r="D353" s="6" t="str">
        <f>HYPERLINK("https://mail.google.com/mail?extsrc=sync&amp;client=docs&amp;plid=ACUX6DN2I5zMANOZNAzWH-S8HWd4cn69HpY6bKE", "Text messages between Bruce and I #12/17")</f>
        <v>Text messages between Bruce and I #12/17</v>
      </c>
      <c r="E353" s="6" t="str">
        <f>HYPERLINK("https://drive.google.com/file/d/1o2W5UGZdNmQmhgN1ErtEECgzkfz7Z9eC/view", "IMG_4967.PNG")</f>
        <v>IMG_4967.PNG</v>
      </c>
      <c r="F35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3" s="5"/>
    </row>
    <row r="354" ht="15.75" customHeight="1">
      <c r="A354" s="4">
        <v>45936.5778246875</v>
      </c>
      <c r="B354" s="4">
        <v>45923.60577546296</v>
      </c>
      <c r="C354" s="5" t="s">
        <v>7</v>
      </c>
      <c r="D354" s="6" t="str">
        <f>HYPERLINK("https://mail.google.com/mail?extsrc=sync&amp;client=docs&amp;plid=ACUX6DN2I5zMANOZNAzWH-S8HWd4cn69HpY6bKE", "Text messages between Bruce and I #13/17")</f>
        <v>Text messages between Bruce and I #13/17</v>
      </c>
      <c r="E354" s="6" t="str">
        <f>HYPERLINK("https://drive.google.com/file/d/1kpO9rt41drRxYMxaj4BmZA195-26G2kB/view", "IMG_4976.PNG")</f>
        <v>IMG_4976.PNG</v>
      </c>
      <c r="F35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4" s="5"/>
    </row>
    <row r="355" ht="15.75" customHeight="1">
      <c r="A355" s="4">
        <v>45936.57782472222</v>
      </c>
      <c r="B355" s="4">
        <v>45923.60577546296</v>
      </c>
      <c r="C355" s="5" t="s">
        <v>7</v>
      </c>
      <c r="D355" s="6" t="str">
        <f>HYPERLINK("https://mail.google.com/mail?extsrc=sync&amp;client=docs&amp;plid=ACUX6DN2I5zMANOZNAzWH-S8HWd4cn69HpY6bKE", "Text messages between Bruce and I #14/17")</f>
        <v>Text messages between Bruce and I #14/17</v>
      </c>
      <c r="E355" s="6" t="str">
        <f>HYPERLINK("https://drive.google.com/file/d/1fvdNmpN8oo4gVo8IqjRYofASKTqok172/view", "IMG_4963.PNG")</f>
        <v>IMG_4963.PNG</v>
      </c>
      <c r="F35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5" s="5"/>
    </row>
    <row r="356" ht="15.75" customHeight="1">
      <c r="A356" s="4">
        <v>45936.57782472222</v>
      </c>
      <c r="B356" s="4">
        <v>45923.60577546296</v>
      </c>
      <c r="C356" s="5" t="s">
        <v>7</v>
      </c>
      <c r="D356" s="6" t="str">
        <f>HYPERLINK("https://mail.google.com/mail?extsrc=sync&amp;client=docs&amp;plid=ACUX6DN2I5zMANOZNAzWH-S8HWd4cn69HpY6bKE", "Text messages between Bruce and I #15/17")</f>
        <v>Text messages between Bruce and I #15/17</v>
      </c>
      <c r="E356" s="6" t="str">
        <f>HYPERLINK("https://drive.google.com/file/d/1fuNHnYTYbRBQUG6x7Qmw5YZMsM2gbKjP/view", "IMG_4960.PNG")</f>
        <v>IMG_4960.PNG</v>
      </c>
      <c r="F35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6" s="5"/>
    </row>
    <row r="357" ht="15.75" customHeight="1">
      <c r="A357" s="4">
        <v>45936.577825451386</v>
      </c>
      <c r="B357" s="4">
        <v>45923.60577546296</v>
      </c>
      <c r="C357" s="5" t="s">
        <v>7</v>
      </c>
      <c r="D357" s="6" t="str">
        <f>HYPERLINK("https://mail.google.com/mail?extsrc=sync&amp;client=docs&amp;plid=ACUX6DN2I5zMANOZNAzWH-S8HWd4cn69HpY6bKE", "Text messages between Bruce and I #16/17")</f>
        <v>Text messages between Bruce and I #16/17</v>
      </c>
      <c r="E357" s="6" t="str">
        <f>HYPERLINK("https://drive.google.com/file/d/1d86yQ9HcDUIJwguaUMnm7rCRQ_MICSfK/view", "IMG_4975.PNG")</f>
        <v>IMG_4975.PNG</v>
      </c>
      <c r="F35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7" s="5"/>
    </row>
    <row r="358" ht="15.75" customHeight="1">
      <c r="A358" s="4">
        <v>45936.57782574074</v>
      </c>
      <c r="B358" s="4">
        <v>45923.60577546296</v>
      </c>
      <c r="C358" s="5" t="s">
        <v>7</v>
      </c>
      <c r="D358" s="6" t="str">
        <f>HYPERLINK("https://mail.google.com/mail?extsrc=sync&amp;client=docs&amp;plid=ACUX6DN2I5zMANOZNAzWH-S8HWd4cn69HpY6bKE", "Text messages between Bruce and I #17/17")</f>
        <v>Text messages between Bruce and I #17/17</v>
      </c>
      <c r="E358" s="6" t="str">
        <f>HYPERLINK("https://drive.google.com/file/d/1ZOwesQgmNuD0AjoVkYMDFVWow4LXZMwo/view", "IMG_4964.PNG")</f>
        <v>IMG_4964.PNG</v>
      </c>
      <c r="F35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8" s="5"/>
    </row>
    <row r="359" ht="15.75" customHeight="1">
      <c r="A359" s="4">
        <v>45936.57787493056</v>
      </c>
      <c r="B359" s="4">
        <v>45923.60577546296</v>
      </c>
      <c r="C359" s="5" t="s">
        <v>7</v>
      </c>
      <c r="D359" s="6" t="str">
        <f>HYPERLINK("https://mail.google.com/mail?extsrc=sync&amp;client=docs&amp;plid=ACUX6DN2I5zMANOZNAzWH-S8HWd4cn69HpY6bKE", "Text messages between Bruce and I")</f>
        <v>Text messages between Bruce and I</v>
      </c>
      <c r="E359" s="6" t="str">
        <f>HYPERLINK("https://drive.google.com/file/d/1-N67k9luK4s0CFtURYMw7St3QaDEtbnM/view", "Text messages between Bruce and I.pdf")</f>
        <v>Text messages between Bruce and I.pdf</v>
      </c>
      <c r="F35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59" s="5"/>
    </row>
    <row r="360" ht="15.75" customHeight="1">
      <c r="A360" s="4">
        <v>45936.57729480324</v>
      </c>
      <c r="B360" s="4">
        <v>45923.85438657408</v>
      </c>
      <c r="C360" s="5" t="s">
        <v>7</v>
      </c>
      <c r="D360" s="6" t="str">
        <f t="shared" ref="D360:D361" si="62">HYPERLINK("https://mail.google.com/mail?extsrc=sync&amp;client=docs&amp;plid=ACUX6DPQKEL4eIeou5CvD5n_eBVoCLDgxy6R8LE", "Timestamp phone call")</f>
        <v>Timestamp phone call</v>
      </c>
      <c r="E360" s="6" t="str">
        <f>HYPERLINK("https://drive.google.com/file/d/1Xa_ut4PVhfa43vep5s-vNGKYI6qsZdbz/view", "73445.jpg")</f>
        <v>73445.jpg</v>
      </c>
      <c r="F36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0" s="5"/>
    </row>
    <row r="361" ht="15.75" customHeight="1">
      <c r="A361" s="4">
        <v>45936.57731826389</v>
      </c>
      <c r="B361" s="4">
        <v>45923.85438657408</v>
      </c>
      <c r="C361" s="5" t="s">
        <v>7</v>
      </c>
      <c r="D361" s="6" t="str">
        <f t="shared" si="62"/>
        <v>Timestamp phone call</v>
      </c>
      <c r="E361" s="6" t="str">
        <f>HYPERLINK("https://drive.google.com/file/d/1yZKaCJXIa7_6q19I4ARl9Vs5REtri-ZI/view", "Timestamp phone call.pdf")</f>
        <v>Timestamp phone call.pdf</v>
      </c>
      <c r="F36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1" s="5"/>
    </row>
    <row r="362" ht="15.75" customHeight="1">
      <c r="A362" s="4">
        <v>45936.57724591435</v>
      </c>
      <c r="B362" s="4">
        <v>45923.49358796296</v>
      </c>
      <c r="C362" s="5" t="s">
        <v>7</v>
      </c>
      <c r="D362" s="6" t="str">
        <f t="shared" ref="D362:D363" si="63">HYPERLINK("https://mail.google.com/mail?extsrc=sync&amp;client=docs&amp;plid=ACUX6DOLaukeXFscY_JQzcPQy7h97DAq6t1jg9I", "Omg Eric he had unenrolled him!!")</f>
        <v>Omg Eric he had unenrolled him!!</v>
      </c>
      <c r="E362" s="6" t="str">
        <f>HYPERLINK("https://drive.google.com/file/d/10aDehNR-b2ED2qjuO2ev5Eb2YuuMCAcm/view", "54888.jpg")</f>
        <v>54888.jpg</v>
      </c>
      <c r="F36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2" s="5"/>
    </row>
    <row r="363" ht="15.75" customHeight="1">
      <c r="A363" s="4">
        <v>45936.57726960648</v>
      </c>
      <c r="B363" s="4">
        <v>45923.49358796296</v>
      </c>
      <c r="C363" s="5" t="s">
        <v>7</v>
      </c>
      <c r="D363" s="6" t="str">
        <f t="shared" si="63"/>
        <v>Omg Eric he had unenrolled him!!</v>
      </c>
      <c r="E363" s="6" t="str">
        <f>HYPERLINK("https://drive.google.com/file/d/1sngrHVOs6hc82JIUkj63u4MqD8HkGCkA/view", "Omg Eric he had unenrolled him!!.pdf")</f>
        <v>Omg Eric he had unenrolled him!!.pdf</v>
      </c>
      <c r="F36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3" s="5"/>
    </row>
    <row r="364" ht="15.75" customHeight="1">
      <c r="A364" s="4">
        <v>45936.57719527778</v>
      </c>
      <c r="B364" s="4">
        <v>45925.94913194445</v>
      </c>
      <c r="C364" s="5" t="s">
        <v>7</v>
      </c>
      <c r="D364" s="6" t="str">
        <f>HYPERLINK("https://mail.google.com/mail?extsrc=sync&amp;client=docs&amp;plid=ACUX6DO_oBkyh4ETUbnFWdZFJI9U1PWZM5ykcTk", "voicemail-19340841920 (Social Worker) #1/2")</f>
        <v>voicemail-19340841920 (Social Worker) #1/2</v>
      </c>
      <c r="E364" s="6" t="str">
        <f>HYPERLINK("https://drive.google.com/file/d/1wsFFr199P7QNGOyLh1RCR2ulqhdPCCRv/view", "voicemail-19340841920.m4a")</f>
        <v>voicemail-19340841920.m4a</v>
      </c>
      <c r="F36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4" s="5"/>
    </row>
    <row r="365" ht="15.75" customHeight="1">
      <c r="A365" s="4">
        <v>45936.57719633102</v>
      </c>
      <c r="B365" s="4">
        <v>45925.94913194445</v>
      </c>
      <c r="C365" s="5" t="s">
        <v>7</v>
      </c>
      <c r="D365" s="6" t="str">
        <f>HYPERLINK("https://mail.google.com/mail?extsrc=sync&amp;client=docs&amp;plid=ACUX6DO_oBkyh4ETUbnFWdZFJI9U1PWZM5ykcTk", "voicemail-19340841920 (Social Worker) #2/2")</f>
        <v>voicemail-19340841920 (Social Worker) #2/2</v>
      </c>
      <c r="E365" s="6" t="str">
        <f>HYPERLINK("https://drive.google.com/file/d/12NQjLxYVWrlz0I3tMOonUekxDCaEQ7sy/view", "voicemail-19340841920.txt")</f>
        <v>voicemail-19340841920.txt</v>
      </c>
      <c r="F36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5" s="5"/>
    </row>
    <row r="366" ht="15.75" customHeight="1">
      <c r="A366" s="4">
        <v>45936.57721821759</v>
      </c>
      <c r="B366" s="4">
        <v>45925.94913194445</v>
      </c>
      <c r="C366" s="5" t="s">
        <v>7</v>
      </c>
      <c r="D366" s="6" t="str">
        <f>HYPERLINK("https://mail.google.com/mail?extsrc=sync&amp;client=docs&amp;plid=ACUX6DO_oBkyh4ETUbnFWdZFJI9U1PWZM5ykcTk", "voicemail-19340841920 (Social Worker)")</f>
        <v>voicemail-19340841920 (Social Worker)</v>
      </c>
      <c r="E366" s="6" t="str">
        <f>HYPERLINK("https://drive.google.com/file/d/12S9SPRBIijagqRGJPv3t88PiUnMm_OHp/view", "voicemail-19340841920 (Social Worker).pdf")</f>
        <v>voicemail-19340841920 (Social Worker).pdf</v>
      </c>
      <c r="F36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6" s="5"/>
    </row>
    <row r="367" ht="15.75" customHeight="1">
      <c r="A367" s="4">
        <v>45936.57704203704</v>
      </c>
      <c r="B367" s="4">
        <v>45924.032118055555</v>
      </c>
      <c r="C367" s="5" t="s">
        <v>7</v>
      </c>
      <c r="D367" s="6" t="str">
        <f>HYPERLINK("https://mail.google.com/mail?extsrc=sync&amp;client=docs&amp;plid=ACUX6DMjwzRmAxj9nbQe_5ySxbKNyPeqjnkFHXI", "healingenergyquest on Instagram: 'Chaos feels familiar. Because chaos is easy. Love is holy. Love is fire. Toxic bonds may teach you survival. But real love? It asks you to awaken. And only love can turn fire into freedom. That’s why it’s the bravest jour"&amp;"ney of all. ❤️ #healing #awakening #spiritualgrowth #consciouslove #selflove #toxicrelationships #realationships #shadowwork #soullove #innerwork #spiritualawakening #healingjourney #truthseekers #deepquotes #soulgrowth #notoxicpeople #twinflamesunion #di"&amp;"vinelovers #divinemasculine #divinefemininity #divinelove #lovequotes #love #healtogether'")</f>
        <v>healingenergyquest on Instagram: 'Chaos feels familiar. Because chaos is easy. Love is holy. Love is fire. Toxic bonds may teach you survival. But real love? It asks you to awaken. And only love can turn fire into freedom. That’s why it’s the bravest journey of all. ❤️ #healing #awakening #spiritualgrowth #consciouslove #selflove #toxicrelationships #realationships #shadowwork #soullove #innerwork #spiritualawakening #healingjourney #truthseekers #deepquotes #soulgrowth #notoxicpeople #twinflamesunion #divinelovers #divinemasculine #divinefemininity #divinelove #lovequotes #love #healtogether'</v>
      </c>
      <c r="E367" s="6" t="str">
        <f>HYPERLINK("https://drive.google.com/file/d/16LtL5gsTPilJFPHoKMnMz9eqHff_mNF_/view", "healingenergyquest on Instagram Chaos feels familiar. Because chaos is easy. Love is holy. Love is fire. Toxic bonds may teach you survival. But real love It asks you to awaken. And only love can turn fire into freedom. That’s why it’s the bravest journey"&amp;" of all. ❤️ #healing #awakening #spiritualgrowth #consciouslove #selflove #toxicrelationships #realationships #shadowwork #soullove #innerwork #spiritualawakening #healingjourney #truthseekers #deepquotes #soulgrowth #notoxicpeople #twinflamesunion #divin"&amp;"elovers #divinemasculine #divinefemininity #divinelove #lovequotes #love #healtogether.pdf")</f>
        <v>healingenergyquest on Instagram Chaos feels familiar. Because chaos is easy. Love is holy. Love is fire. Toxic bonds may teach you survival. But real love It asks you to awaken. And only love can turn fire into freedom. That’s why it’s the bravest journey of all. ❤️ #healing #awakening #spiritualgrowth #consciouslove #selflove #toxicrelationships #realationships #shadowwork #soullove #innerwork #spiritualawakening #healingjourney #truthseekers #deepquotes #soulgrowth #notoxicpeople #twinflamesunion #divinelovers #divinemasculine #divinefemininity #divinelove #lovequotes #love #healtogether.pdf</v>
      </c>
      <c r="F36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7" s="5"/>
    </row>
    <row r="368" ht="15.75" customHeight="1">
      <c r="A368" s="4">
        <v>45936.57699314815</v>
      </c>
      <c r="B368" s="4">
        <v>45922.948101851856</v>
      </c>
      <c r="C368" s="5" t="s">
        <v>7</v>
      </c>
      <c r="D368" s="6" t="str">
        <f>HYPERLINK("https://mail.google.com/mail?extsrc=sync&amp;client=docs&amp;plid=ACUX6DN8c5GuEaFkAdTyzji4GyYXxx-usKqJta4", "Re: voicemail-25137190688 (Another detective)")</f>
        <v>Re: voicemail-25137190688 (Another detective)</v>
      </c>
      <c r="E368" s="6" t="str">
        <f>HYPERLINK("https://drive.google.com/file/d/1bTDvCNwudxVVKjrdHPwgA0KW56LExqxd/view", "Re voicemail-25137190688 (Another detective).pdf")</f>
        <v>Re voicemail-25137190688 (Another detective).pdf</v>
      </c>
      <c r="F36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8" s="5"/>
    </row>
    <row r="369" ht="15.75" customHeight="1">
      <c r="A369" s="4">
        <v>45936.57696042824</v>
      </c>
      <c r="B369" s="4">
        <v>45922.9184837963</v>
      </c>
      <c r="C369" s="5" t="s">
        <v>7</v>
      </c>
      <c r="D369" s="6" t="str">
        <f>HYPERLINK("https://mail.google.com/mail?extsrc=sync&amp;client=docs&amp;plid=ACUX6DN8c5GuEaFkAdTyzji4GyYXxx-usKqJta4", "voicemail-25137190688 (Another detective) #1/2")</f>
        <v>voicemail-25137190688 (Another detective) #1/2</v>
      </c>
      <c r="E369" s="6" t="str">
        <f>HYPERLINK("https://drive.google.com/file/d/12W9e8XpNfmSNz4mjcGhFSoMfMdxlwzB7/view", "voicemail-25137190688.m4a")</f>
        <v>voicemail-25137190688.m4a</v>
      </c>
      <c r="F36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69" s="5"/>
    </row>
    <row r="370" ht="15.75" customHeight="1">
      <c r="A370" s="4">
        <v>45936.57696104167</v>
      </c>
      <c r="B370" s="4">
        <v>45922.9184837963</v>
      </c>
      <c r="C370" s="5" t="s">
        <v>7</v>
      </c>
      <c r="D370" s="6" t="str">
        <f>HYPERLINK("https://mail.google.com/mail?extsrc=sync&amp;client=docs&amp;plid=ACUX6DN8c5GuEaFkAdTyzji4GyYXxx-usKqJta4", "voicemail-25137190688 (Another detective) #2/2")</f>
        <v>voicemail-25137190688 (Another detective) #2/2</v>
      </c>
      <c r="E370" s="6" t="str">
        <f>HYPERLINK("https://drive.google.com/file/d/1JNFCMV8bzv6X0dYQlSa6asLO8cpg36Sb/view", "voicemail-25137190688.txt")</f>
        <v>voicemail-25137190688.txt</v>
      </c>
      <c r="F37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0" s="5"/>
    </row>
    <row r="371" ht="15.75" customHeight="1">
      <c r="A371" s="4">
        <v>45936.57688354167</v>
      </c>
      <c r="B371" s="4">
        <v>45922.94644675926</v>
      </c>
      <c r="C371" s="5" t="s">
        <v>7</v>
      </c>
      <c r="D371" s="6" t="str">
        <f>HYPERLINK("https://mail.google.com/mail?extsrc=sync&amp;client=docs&amp;plid=ACUX6DN8c5GuEaFkAdTyzji4GyYXxx-usKqJta4", "Re: voicemail-25137190688 (Another detective)")</f>
        <v>Re: voicemail-25137190688 (Another detective)</v>
      </c>
      <c r="E371" s="6" t="str">
        <f>HYPERLINK("https://drive.google.com/file/d/1mkHwlcP2YFUzZsMNIokEu5Z_XivZfyON/view", "Re voicemail-25137190688 (Another detective).pdf")</f>
        <v>Re voicemail-25137190688 (Another detective).pdf</v>
      </c>
      <c r="F37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1" s="5"/>
    </row>
    <row r="372" ht="15.75" customHeight="1">
      <c r="A372" s="4">
        <v>45936.576858125</v>
      </c>
      <c r="B372" s="4">
        <v>45925.399884259255</v>
      </c>
      <c r="C372" s="5" t="s">
        <v>7</v>
      </c>
      <c r="D372" s="6" t="str">
        <f>HYPERLINK("https://mail.google.com/mail?extsrc=sync&amp;client=docs&amp;plid=ACUX6DNckgJZaOXuKvKBBpY61eGC7VLjB1K9IM0", "Furnished 3300")</f>
        <v>Furnished 3300</v>
      </c>
      <c r="E372" s="6" t="str">
        <f>HYPERLINK("https://drive.google.com/file/d/1TT8LSzMKuRUyOXzid352HYK4dEzTTGUd/view", "Furnished 3300.pdf")</f>
        <v>Furnished 3300.pdf</v>
      </c>
      <c r="F37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2" s="5"/>
    </row>
    <row r="373" ht="15.75" customHeight="1">
      <c r="A373" s="4">
        <v>45936.576822233794</v>
      </c>
      <c r="B373" s="4">
        <v>45923.517442129625</v>
      </c>
      <c r="C373" s="5" t="s">
        <v>7</v>
      </c>
      <c r="D373" s="6" t="str">
        <f>HYPERLINK("https://mail.google.com/mail?extsrc=sync&amp;client=docs&amp;plid=ACUX6DPbcqg-334SEL-gbrshDd3bXP9RhKrDpXU", "Property Ownership Research Report: San Gabriel Valley Rentals")</f>
        <v>Property Ownership Research Report: San Gabriel Valley Rentals</v>
      </c>
      <c r="E373" s="6" t="str">
        <f>HYPERLINK("https://drive.google.com/file/d/1X9l7dfY1rjfsjKCX914t3GHHGvENj0OW/view", "Property Ownership Research Report San Gabriel Valley Rentals.pdf")</f>
        <v>Property Ownership Research Report San Gabriel Valley Rentals.pdf</v>
      </c>
      <c r="F37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3" s="5"/>
    </row>
    <row r="374" ht="15.75" customHeight="1">
      <c r="A374" s="4">
        <v>45936.576770914355</v>
      </c>
      <c r="B374" s="4">
        <v>45925.94953703704</v>
      </c>
      <c r="C374" s="5" t="s">
        <v>7</v>
      </c>
      <c r="D374" s="6" t="str">
        <f>HYPERLINK("https://mail.google.com/mail?extsrc=sync&amp;client=docs&amp;plid=ACUX6DPbd6uyW6CmRM092zTvAXNkbEF9Bkotj14", "voicemail-19339066752 [Cordova Detective] #1/2")</f>
        <v>voicemail-19339066752 [Cordova Detective] #1/2</v>
      </c>
      <c r="E374" s="6" t="str">
        <f>HYPERLINK("https://drive.google.com/file/d/1RbN1qGWaTkbsmfEITtLfs5tyf5Ld_6ZS/view", "voicemail-19339066752.m4a")</f>
        <v>voicemail-19339066752.m4a</v>
      </c>
      <c r="F37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4" s="5"/>
    </row>
    <row r="375" ht="15.75" customHeight="1">
      <c r="A375" s="4">
        <v>45936.57677097223</v>
      </c>
      <c r="B375" s="4">
        <v>45925.94953703704</v>
      </c>
      <c r="C375" s="5" t="s">
        <v>7</v>
      </c>
      <c r="D375" s="6" t="str">
        <f>HYPERLINK("https://mail.google.com/mail?extsrc=sync&amp;client=docs&amp;plid=ACUX6DPbd6uyW6CmRM092zTvAXNkbEF9Bkotj14", "voicemail-19339066752 [Cordova Detective] #2/2")</f>
        <v>voicemail-19339066752 [Cordova Detective] #2/2</v>
      </c>
      <c r="E375" s="6" t="str">
        <f>HYPERLINK("https://drive.google.com/file/d/11Ph_xnbiPdwcxjXpFCAp1P1qWiF_e3wV/view", "voicemail-19339066752.txt")</f>
        <v>voicemail-19339066752.txt</v>
      </c>
      <c r="F37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5" s="5"/>
    </row>
    <row r="376" ht="15.75" customHeight="1">
      <c r="A376" s="4">
        <v>45936.57679450231</v>
      </c>
      <c r="B376" s="4">
        <v>45925.94953703704</v>
      </c>
      <c r="C376" s="5" t="s">
        <v>7</v>
      </c>
      <c r="D376" s="6" t="str">
        <f>HYPERLINK("https://mail.google.com/mail?extsrc=sync&amp;client=docs&amp;plid=ACUX6DPbd6uyW6CmRM092zTvAXNkbEF9Bkotj14", "voicemail-19339066752 [Cordova Detective]")</f>
        <v>voicemail-19339066752 [Cordova Detective]</v>
      </c>
      <c r="E376" s="6" t="str">
        <f>HYPERLINK("https://drive.google.com/file/d/1Ddkxbtakyy1gpgALpCF4lJja8uPn_3WN/view", "voicemail-19339066752 [Cordova Detective].pdf")</f>
        <v>voicemail-19339066752 [Cordova Detective].pdf</v>
      </c>
      <c r="F37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6" s="5"/>
    </row>
    <row r="377" ht="15.75" customHeight="1">
      <c r="A377" s="4">
        <v>45936.57667028935</v>
      </c>
      <c r="B377" s="4">
        <v>45926.02184027778</v>
      </c>
      <c r="C377" s="5" t="s">
        <v>7</v>
      </c>
      <c r="D377" s="6" t="str">
        <f t="shared" ref="D377:D378" si="64">HYPERLINK("https://mail.google.com/mail?extsrc=sync&amp;client=docs&amp;plid=ACUX6DMnK7_WsgBzrj6dm3L-WBZfKCeTBByu3i8", "Re: I sent Nelly and my dad this and I think my mom saw this then is this gonna be a problem?")</f>
        <v>Re: I sent Nelly and my dad this and I think my mom saw this then is this gonna be a problem?</v>
      </c>
      <c r="E377" s="6" t="str">
        <f>HYPERLINK("https://drive.google.com/file/d/16scjVTpOgnNgkDc2orqnA-jl_bYGyGL9/view", "42500.jpg")</f>
        <v>42500.jpg</v>
      </c>
      <c r="F37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7" s="5"/>
    </row>
    <row r="378" ht="15.75" customHeight="1">
      <c r="A378" s="4">
        <v>45936.57669376157</v>
      </c>
      <c r="B378" s="4">
        <v>45926.02184027778</v>
      </c>
      <c r="C378" s="5" t="s">
        <v>7</v>
      </c>
      <c r="D378" s="6" t="str">
        <f t="shared" si="64"/>
        <v>Re: I sent Nelly and my dad this and I think my mom saw this then is this gonna be a problem?</v>
      </c>
      <c r="E378" s="6" t="str">
        <f>HYPERLINK("https://drive.google.com/file/d/1rTl5mWrktMIVblf6i7YpF2fgvbc-HRIv/view", "Re I sent Nelly and my dad this and I think my mom saw this then is this gonna be a problem.pdf")</f>
        <v>Re I sent Nelly and my dad this and I think my mom saw this then is this gonna be a problem.pdf</v>
      </c>
      <c r="F37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8" s="5"/>
    </row>
    <row r="379" ht="15.75" customHeight="1">
      <c r="A379" s="4">
        <v>45936.57664238426</v>
      </c>
      <c r="B379" s="4">
        <v>45923.71416666667</v>
      </c>
      <c r="C379" s="5" t="s">
        <v>7</v>
      </c>
      <c r="D379" s="6" t="str">
        <f t="shared" ref="D379:D380" si="65">HYPERLINK("https://mail.google.com/mail?extsrc=sync&amp;client=docs&amp;plid=ACUX6DO2rbK-mNlJPGfhQQUBPvHAkQsb1y7j03E", "Re: Living Trust of FAHED SAYEGH and NUHA SAYEGH")</f>
        <v>Re: Living Trust of FAHED SAYEGH and NUHA SAYEGH</v>
      </c>
      <c r="E379" s="6" t="str">
        <f>HYPERLINK("https://drive.google.com/file/d/1Y04gL3-qzD6E4y6ACRIV0u6oKftj2ytb/view", "Re Living Trust of FAHED SAYEGH and NUHA SAYEGH.pdf")</f>
        <v>Re Living Trust of FAHED SAYEGH and NUHA SAYEGH.pdf</v>
      </c>
      <c r="F37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79" s="5"/>
    </row>
    <row r="380" ht="15.75" customHeight="1">
      <c r="A380" s="4">
        <v>45936.57661635417</v>
      </c>
      <c r="B380" s="4">
        <v>45923.68863425926</v>
      </c>
      <c r="C380" s="5" t="s">
        <v>7</v>
      </c>
      <c r="D380" s="6" t="str">
        <f t="shared" si="65"/>
        <v>Re: Living Trust of FAHED SAYEGH and NUHA SAYEGH</v>
      </c>
      <c r="E380" s="6" t="str">
        <f>HYPERLINK("https://drive.google.com/file/d/1-eW3IzebJiiCDK-ZBjpsRczSXw_BoYgs/view", "Re Living Trust of FAHED SAYEGH and NUHA SAYEGH.pdf")</f>
        <v>Re Living Trust of FAHED SAYEGH and NUHA SAYEGH.pdf</v>
      </c>
      <c r="F38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0" s="5"/>
    </row>
    <row r="381" ht="15.75" customHeight="1">
      <c r="A381" s="4">
        <v>45936.57657586806</v>
      </c>
      <c r="B381" s="4">
        <v>45923.63586805556</v>
      </c>
      <c r="C381" s="5" t="s">
        <v>7</v>
      </c>
      <c r="D381" s="6" t="str">
        <f t="shared" ref="D381:D382" si="66">HYPERLINK("https://mail.google.com/mail?extsrc=sync&amp;client=docs&amp;plid=ACUX6DO2rbK-mNlJPGfhQQUBPvHAkQsb1y7j03E", "Living Trust of FAHED SAYEGH and NUHA SAYEGH")</f>
        <v>Living Trust of FAHED SAYEGH and NUHA SAYEGH</v>
      </c>
      <c r="E381" s="6" t="str">
        <f>HYPERLINK("https://drive.google.com/file/d/1Cg4_56Xb0wAEDmUIIjp_7Li348wAOUlR/view", "Living Trust of FAHED SAYEGH and NUHA SAYEGH.docx")</f>
        <v>Living Trust of FAHED SAYEGH and NUHA SAYEGH.docx</v>
      </c>
      <c r="F38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1" s="5"/>
    </row>
    <row r="382" ht="15.75" customHeight="1">
      <c r="A382" s="4">
        <v>45936.57659527777</v>
      </c>
      <c r="B382" s="4">
        <v>45923.63586805556</v>
      </c>
      <c r="C382" s="5" t="s">
        <v>7</v>
      </c>
      <c r="D382" s="6" t="str">
        <f t="shared" si="66"/>
        <v>Living Trust of FAHED SAYEGH and NUHA SAYEGH</v>
      </c>
      <c r="E382" s="6" t="str">
        <f>HYPERLINK("https://drive.google.com/file/d/1Awl1owDgXowWIRfGvPZP1XjgNfJmy3v4/view", "Living Trust of FAHED SAYEGH and NUHA SAYEGH.pdf")</f>
        <v>Living Trust of FAHED SAYEGH and NUHA SAYEGH.pdf</v>
      </c>
      <c r="F38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2" s="5"/>
    </row>
    <row r="383" ht="15.75" customHeight="1">
      <c r="A383" s="4">
        <v>45936.576546909724</v>
      </c>
      <c r="B383" s="4">
        <v>45924.510613425926</v>
      </c>
      <c r="C383" s="5" t="s">
        <v>7</v>
      </c>
      <c r="D383" s="6" t="str">
        <f>HYPERLINK("https://mail.google.com/mail?extsrc=sync&amp;client=docs&amp;plid=ACUX6DMNbS7PrwPbUX5tHEvyc9jD2hEgAZmFFSQ", "Re: Jordan‘s absence")</f>
        <v>Re: Jordan‘s absence</v>
      </c>
      <c r="E383" s="6" t="str">
        <f>HYPERLINK("https://drive.google.com/file/d/1fP9WRg8OFoJiH3EVaWPVWDiEPaffAQM2/view", "Re Jordan‘s absence.pdf")</f>
        <v>Re Jordan‘s absence.pdf</v>
      </c>
      <c r="F38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3" s="5"/>
    </row>
    <row r="384" ht="15.75" customHeight="1">
      <c r="A384" s="4">
        <v>45936.576482662036</v>
      </c>
      <c r="B384" s="4">
        <v>45924.50597222222</v>
      </c>
      <c r="C384" s="5" t="s">
        <v>7</v>
      </c>
      <c r="D384" s="6" t="str">
        <f t="shared" ref="D384:D385" si="67">HYPERLINK("https://mail.google.com/mail?extsrc=sync&amp;client=docs&amp;plid=ACUX6DMNbS7PrwPbUX5tHEvyc9jD2hEgAZmFFSQ", "Jordan‘s absence")</f>
        <v>Jordan‘s absence</v>
      </c>
      <c r="E384" s="6" t="str">
        <f>HYPERLINK("https://drive.google.com/file/d/15S6v17uaz1ruhnhrOhVSd5XJLYteGFvh/view", "60497.jpg")</f>
        <v>60497.jpg</v>
      </c>
      <c r="F38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4" s="5"/>
    </row>
    <row r="385" ht="15.75" customHeight="1">
      <c r="A385" s="4">
        <v>45936.57651434028</v>
      </c>
      <c r="B385" s="4">
        <v>45924.50597222222</v>
      </c>
      <c r="C385" s="5" t="s">
        <v>7</v>
      </c>
      <c r="D385" s="6" t="str">
        <f t="shared" si="67"/>
        <v>Jordan‘s absence</v>
      </c>
      <c r="E385" s="6" t="str">
        <f>HYPERLINK("https://drive.google.com/file/d/1pj1lHtwQUE1-aMSUQFNQAv8nJTYl0Na_/view", "Jordan‘s absence.pdf")</f>
        <v>Jordan‘s absence.pdf</v>
      </c>
      <c r="F38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5" s="5"/>
    </row>
    <row r="386" ht="15.75" customHeight="1">
      <c r="A386" s="4">
        <v>45936.576391828705</v>
      </c>
      <c r="B386" s="4">
        <v>45923.38078703704</v>
      </c>
      <c r="C386" s="5" t="s">
        <v>7</v>
      </c>
      <c r="D386" s="6" t="str">
        <f t="shared" ref="D386:D387" si="68">HYPERLINK("https://mail.google.com/mail?extsrc=sync&amp;client=docs&amp;plid=ACUX6DM4H7C1G4diGxC3wbRnbYcEtZL9SqDfugw", "Doras Garcia number changed, who knows if she’s still in social work..")</f>
        <v>Doras Garcia number changed, who knows if she’s still in social work..</v>
      </c>
      <c r="E386" s="6" t="str">
        <f>HYPERLINK("https://drive.google.com/file/d/1PNOEUW16pP_76-iQu5xyj0uG1XjIzsB4/view", "77734.jpg")</f>
        <v>77734.jpg</v>
      </c>
      <c r="F38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6" s="5"/>
    </row>
    <row r="387" ht="15.75" customHeight="1">
      <c r="A387" s="4">
        <v>45936.57645828703</v>
      </c>
      <c r="B387" s="4">
        <v>45923.38078703704</v>
      </c>
      <c r="C387" s="5" t="s">
        <v>7</v>
      </c>
      <c r="D387" s="6" t="str">
        <f t="shared" si="68"/>
        <v>Doras Garcia number changed, who knows if she’s still in social work..</v>
      </c>
      <c r="E387" s="6" t="str">
        <f>HYPERLINK("https://drive.google.com/file/d/1mv6huO9PtRqTZMu5WpwoXdHsBKCjCaD4/view", "Doras Garcia number changed, who knows if she’s still in social work...pdf")</f>
        <v>Doras Garcia number changed, who knows if she’s still in social work...pdf</v>
      </c>
      <c r="F38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7" s="5"/>
    </row>
    <row r="388" ht="15.75" customHeight="1">
      <c r="A388" s="4">
        <v>45936.57633989584</v>
      </c>
      <c r="B388" s="4">
        <v>45926.03236111111</v>
      </c>
      <c r="C388" s="5" t="s">
        <v>7</v>
      </c>
      <c r="D388" s="6" t="str">
        <f>HYPERLINK("https://mail.google.com/mail?extsrc=sync&amp;client=docs&amp;plid=ACUX6DPVDt-RglZTaoSSy0YcUQHFHXomNfKH6xM", "Today Conversation with the two neighbors that I have #1/7")</f>
        <v>Today Conversation with the two neighbors that I have #1/7</v>
      </c>
      <c r="E388" s="6" t="str">
        <f>HYPERLINK("https://drive.google.com/file/d/1JMT6M0VfijF3IxixNQGUbejwwgXiGypS/view", "IMG_0159.png")</f>
        <v>IMG_0159.png</v>
      </c>
      <c r="F38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8" s="5"/>
    </row>
    <row r="389" ht="15.75" customHeight="1">
      <c r="A389" s="4">
        <v>45936.576340810185</v>
      </c>
      <c r="B389" s="4">
        <v>45926.03236111111</v>
      </c>
      <c r="C389" s="5" t="s">
        <v>7</v>
      </c>
      <c r="D389" s="6" t="str">
        <f>HYPERLINK("https://mail.google.com/mail?extsrc=sync&amp;client=docs&amp;plid=ACUX6DPVDt-RglZTaoSSy0YcUQHFHXomNfKH6xM", "Today Conversation with the two neighbors that I have #2/7")</f>
        <v>Today Conversation with the two neighbors that I have #2/7</v>
      </c>
      <c r="E389" s="6" t="str">
        <f>HYPERLINK("https://drive.google.com/file/d/1mwj1AWHY10aiO0_c2XBjdom5J6WWD9ks/view", "IMG_0155.png")</f>
        <v>IMG_0155.png</v>
      </c>
      <c r="F38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89" s="5"/>
    </row>
    <row r="390" ht="15.75" customHeight="1">
      <c r="A390" s="4">
        <v>45936.57634083333</v>
      </c>
      <c r="B390" s="4">
        <v>45926.03236111111</v>
      </c>
      <c r="C390" s="5" t="s">
        <v>7</v>
      </c>
      <c r="D390" s="6" t="str">
        <f>HYPERLINK("https://mail.google.com/mail?extsrc=sync&amp;client=docs&amp;plid=ACUX6DPVDt-RglZTaoSSy0YcUQHFHXomNfKH6xM", "Today Conversation with the two neighbors that I have #3/7")</f>
        <v>Today Conversation with the two neighbors that I have #3/7</v>
      </c>
      <c r="E390" s="6" t="str">
        <f>HYPERLINK("https://drive.google.com/file/d/1GN-suEqgRMLiKYHSEvGTXgh5FjGOwq0I/view", "IMG_0157.png")</f>
        <v>IMG_0157.png</v>
      </c>
      <c r="F39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0" s="5"/>
    </row>
    <row r="391" ht="15.75" customHeight="1">
      <c r="A391" s="4">
        <v>45936.576340844906</v>
      </c>
      <c r="B391" s="4">
        <v>45926.03236111111</v>
      </c>
      <c r="C391" s="5" t="s">
        <v>7</v>
      </c>
      <c r="D391" s="6" t="str">
        <f>HYPERLINK("https://mail.google.com/mail?extsrc=sync&amp;client=docs&amp;plid=ACUX6DPVDt-RglZTaoSSy0YcUQHFHXomNfKH6xM", "Today Conversation with the two neighbors that I have #4/7")</f>
        <v>Today Conversation with the two neighbors that I have #4/7</v>
      </c>
      <c r="E391" s="6" t="str">
        <f>HYPERLINK("https://drive.google.com/file/d/1jx9MRxKFaeKeZSek0iRghZ4H9j1bD3r2/view", "IMG_0158.png")</f>
        <v>IMG_0158.png</v>
      </c>
      <c r="F39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1" s="5"/>
    </row>
    <row r="392" ht="15.75" customHeight="1">
      <c r="A392" s="4">
        <v>45936.57634085648</v>
      </c>
      <c r="B392" s="4">
        <v>45926.03236111111</v>
      </c>
      <c r="C392" s="5" t="s">
        <v>7</v>
      </c>
      <c r="D392" s="6" t="str">
        <f>HYPERLINK("https://mail.google.com/mail?extsrc=sync&amp;client=docs&amp;plid=ACUX6DPVDt-RglZTaoSSy0YcUQHFHXomNfKH6xM", "Today Conversation with the two neighbors that I have #5/7")</f>
        <v>Today Conversation with the two neighbors that I have #5/7</v>
      </c>
      <c r="E392" s="6" t="str">
        <f>HYPERLINK("https://drive.google.com/file/d/1dZJ32hgl58rda5nzvYM_nU6cigj2EKbm/view", "IMG_0156.png")</f>
        <v>IMG_0156.png</v>
      </c>
      <c r="F39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2" s="5"/>
    </row>
    <row r="393" ht="15.75" customHeight="1">
      <c r="A393" s="4">
        <v>45936.57634085648</v>
      </c>
      <c r="B393" s="4">
        <v>45926.03236111111</v>
      </c>
      <c r="C393" s="5" t="s">
        <v>7</v>
      </c>
      <c r="D393" s="6" t="str">
        <f>HYPERLINK("https://mail.google.com/mail?extsrc=sync&amp;client=docs&amp;plid=ACUX6DPVDt-RglZTaoSSy0YcUQHFHXomNfKH6xM", "Today Conversation with the two neighbors that I have #6/7")</f>
        <v>Today Conversation with the two neighbors that I have #6/7</v>
      </c>
      <c r="E393" s="6" t="str">
        <f>HYPERLINK("https://drive.google.com/file/d/10sR_B86ho_ryt5DiR6F1Riie-Mlvo2O4/view", "IMG_0160.png")</f>
        <v>IMG_0160.png</v>
      </c>
      <c r="F39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3" s="5"/>
    </row>
    <row r="394" ht="15.75" customHeight="1">
      <c r="A394" s="4">
        <v>45936.57634086805</v>
      </c>
      <c r="B394" s="4">
        <v>45926.03236111111</v>
      </c>
      <c r="C394" s="5" t="s">
        <v>7</v>
      </c>
      <c r="D394" s="6" t="str">
        <f>HYPERLINK("https://mail.google.com/mail?extsrc=sync&amp;client=docs&amp;plid=ACUX6DPVDt-RglZTaoSSy0YcUQHFHXomNfKH6xM", "Today Conversation with the two neighbors that I have #7/7")</f>
        <v>Today Conversation with the two neighbors that I have #7/7</v>
      </c>
      <c r="E394" s="6" t="str">
        <f>HYPERLINK("https://drive.google.com/file/d/1_5EIYCUKqxUxgkJt9cH8yxdyMqVs-JYF/view", "IMG_0161.png")</f>
        <v>IMG_0161.png</v>
      </c>
      <c r="F39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4" s="5"/>
    </row>
    <row r="395" ht="15.75" customHeight="1">
      <c r="A395" s="4">
        <v>45936.57636415509</v>
      </c>
      <c r="B395" s="4">
        <v>45926.03236111111</v>
      </c>
      <c r="C395" s="5" t="s">
        <v>7</v>
      </c>
      <c r="D395" s="6" t="str">
        <f>HYPERLINK("https://mail.google.com/mail?extsrc=sync&amp;client=docs&amp;plid=ACUX6DPVDt-RglZTaoSSy0YcUQHFHXomNfKH6xM", "Today Conversation with the two neighbors that I have")</f>
        <v>Today Conversation with the two neighbors that I have</v>
      </c>
      <c r="E395" s="6" t="str">
        <f>HYPERLINK("https://drive.google.com/file/d/1yBJokZxYSa4kRsxVPcCLHmkWGeNJRaRi/view", "Today Conversation with the two neighbors that I have.pdf")</f>
        <v>Today Conversation with the two neighbors that I have.pdf</v>
      </c>
      <c r="F39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5" s="5"/>
    </row>
    <row r="396" ht="15.75" customHeight="1">
      <c r="A396" s="4">
        <v>45936.57618927083</v>
      </c>
      <c r="B396" s="4">
        <v>45924.43592592592</v>
      </c>
      <c r="C396" s="5" t="s">
        <v>7</v>
      </c>
      <c r="D396" s="6" t="str">
        <f>HYPERLINK("https://mail.google.com/mail?extsrc=sync&amp;client=docs&amp;plid=ACUX6DPxB3bOmsELru57VXpH1_Cn4Nti_PiBPGc", "Re: The current status of the case")</f>
        <v>Re: The current status of the case</v>
      </c>
      <c r="E396" s="6" t="str">
        <f>HYPERLINK("https://drive.google.com/file/d/1NgF1SPf7NJ7vMXhz7aUGTqCMpHR5tr6o/view", "Re The current status of the case.pdf")</f>
        <v>Re The current status of the case.pdf</v>
      </c>
      <c r="F39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6" s="5"/>
    </row>
    <row r="397" ht="15.75" customHeight="1">
      <c r="A397" s="4">
        <v>45936.576167754625</v>
      </c>
      <c r="B397" s="4">
        <v>45923.96769675926</v>
      </c>
      <c r="C397" s="5" t="s">
        <v>7</v>
      </c>
      <c r="D397" s="6" t="str">
        <f>HYPERLINK("https://mail.google.com/mail?extsrc=sync&amp;client=docs&amp;plid=ACUX6DPfvP73rfZs043hZ9yGCt7tVd3RbbeJSWo", "Simon &amp; Tina | Fruit &amp; Vegan Travel on Instagram: 'TOP 20 Fruits you have to try in your lifetime 🤩 Save and share this with someone who needs to see this! 1. Soursop 2. Mokambo 3. Safu 4. Isu Jungle Durian 5. Nipa Palm Fruit 6. Kadsura 7. Toddy Palm 8. "&amp;"Bilimbi 9. Screwpine 10. Gac Fruit 11. Sprouted Coconut 12. Yellow Dragon Fruit 13. Wood Apple 14. Durian 15. Egg fruit 16. Custard Apple 17. Seeded Banana 18. Pink Coconut 19. Major Jenkins Palm Fruit 20. Noni 🥭 Are you a true fruit lover? Get ready to "&amp;"experience the world’s most exotic fruits like never before 🙌 For nearly a decade, we’ve traveled the globe in search of the juiciest, rarest, and most vibrant fruits on Earth. And in the heart of these fruit havens, we host our Fruit Retreats: week-long"&amp;" tropical celebrations where fruit lovers from around the world come together to indulge, connect, and feast. At our retreats, the fruit flows 24/7 (yes, even at 3AM 😋) as we feast together on an all-you-can-e")</f>
        <v>Simon &amp; Tina | Fruit &amp; Vegan Travel on Instagram: 'TOP 20 Fruits you have to try in your lifetime 🤩 Save and share this with someone who needs to see this! 1. Soursop 2. Mokambo 3. Safu 4. Isu Jungle Durian 5. Nipa Palm Fruit 6. Kadsura 7. Toddy Palm 8. Bilimbi 9. Screwpine 10. Gac Fruit 11. Sprouted Coconut 12. Yellow Dragon Fruit 13. Wood Apple 14. Durian 15. Egg fruit 16. Custard Apple 17. Seeded Banana 18. Pink Coconut 19. Major Jenkins Palm Fruit 20. Noni 🥭 Are you a true fruit lover? Get ready to experience the world’s most exotic fruits like never before 🙌 For nearly a decade, we’ve traveled the globe in search of the juiciest, rarest, and most vibrant fruits on Earth. And in the heart of these fruit havens, we host our Fruit Retreats: week-long tropical celebrations where fruit lovers from around the world come together to indulge, connect, and feast. At our retreats, the fruit flows 24/7 (yes, even at 3AM 😋) as we feast together on an all-you-can-e</v>
      </c>
      <c r="E397" s="6" t="str">
        <f>HYPERLINK("https://drive.google.com/file/d/1MZfHg1EKLkmsG3RK0ayZIIA0R4eygweN/view", "Simon &amp; Tina  Fruit &amp; Vegan Travel on Instagram TOP 20 Fruits you have to try in your lifetime 🤩 Save and share this with someone who needs to see this! 1. Soursop 2. Mokambo 3. Safu 4. Isu Jungle Durian 5. Nipa Palm Fruit 6. Kadsura 7. Toddy Palm 8. Bil"&amp;"imbi 9. Screwpine 10. Gac Fruit 11. Sprouted Coconut 12. Yellow Dragon Fruit 13. Wood Apple 14. Durian 15. Egg fruit 16. Custard Apple 17. Seeded Banana 18. Pink Coconut 19. Major Jenkins Palm Fruit 20. Noni 🥭 Are you a true fruit lover Get ready to expe"&amp;"rience the world’s most exotic fruits like never before 🙌 For nearly a decade, we’ve traveled the globe in search of the juiciest, rarest, and most vibrant fruits on Earth. And in the heart of these fruit havens, we host our Fruit Retreats week-long trop"&amp;"ical celebrations where fruit lovers from around the world come together to indulge, connect, and feast. At our retreats, the fruit flows 247 (yes, even at 3AM 😋) as we feast together on an all-you-can-e.pdf")</f>
        <v>Simon &amp; Tina  Fruit &amp; Vegan Travel on Instagram TOP 20 Fruits you have to try in your lifetime 🤩 Save and share this with someone who needs to see this! 1. Soursop 2. Mokambo 3. Safu 4. Isu Jungle Durian 5. Nipa Palm Fruit 6. Kadsura 7. Toddy Palm 8. Bilimbi 9. Screwpine 10. Gac Fruit 11. Sprouted Coconut 12. Yellow Dragon Fruit 13. Wood Apple 14. Durian 15. Egg fruit 16. Custard Apple 17. Seeded Banana 18. Pink Coconut 19. Major Jenkins Palm Fruit 20. Noni 🥭 Are you a true fruit lover Get ready to experience the world’s most exotic fruits like never before 🙌 For nearly a decade, we’ve traveled the globe in search of the juiciest, rarest, and most vibrant fruits on Earth. And in the heart of these fruit havens, we host our Fruit Retreats week-long tropical celebrations where fruit lovers from around the world come together to indulge, connect, and feast. At our retreats, the fruit flows 247 (yes, even at 3AM 😋) as we feast together on an all-you-can-e.pdf</v>
      </c>
      <c r="F39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7" s="5"/>
    </row>
    <row r="398" ht="15.75" customHeight="1">
      <c r="A398" s="4">
        <v>45936.576120729165</v>
      </c>
      <c r="B398" s="4">
        <v>45922.76222222223</v>
      </c>
      <c r="C398" s="5" t="s">
        <v>7</v>
      </c>
      <c r="D398" s="6" t="str">
        <f>HYPERLINK("https://mail.google.com/mail?extsrc=sync&amp;client=docs&amp;plid=ACUX6DNpif38kXZzop2KZbTMbpQRtFe7bE2sX7E", "Identification #1/2")</f>
        <v>Identification #1/2</v>
      </c>
      <c r="E398" s="6" t="str">
        <f>HYPERLINK("https://drive.google.com/file/d/1vGFXD-iBuAJn6i3qMZgNK7jl74m8M8Ro/view", "IMG_4173.jpeg")</f>
        <v>IMG_4173.jpeg</v>
      </c>
      <c r="F39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8" s="5"/>
    </row>
    <row r="399" ht="15.75" customHeight="1">
      <c r="A399" s="4">
        <v>45936.57612082176</v>
      </c>
      <c r="B399" s="4">
        <v>45922.76222222223</v>
      </c>
      <c r="C399" s="5" t="s">
        <v>7</v>
      </c>
      <c r="D399" s="6" t="str">
        <f>HYPERLINK("https://mail.google.com/mail?extsrc=sync&amp;client=docs&amp;plid=ACUX6DNpif38kXZzop2KZbTMbpQRtFe7bE2sX7E", "Identification #2/2")</f>
        <v>Identification #2/2</v>
      </c>
      <c r="E399" s="6" t="str">
        <f>HYPERLINK("https://drive.google.com/file/d/1Z61ADBku6POKJ8vdEvVoJVvk70NGcE7A/view", "IMG_4163.jpeg")</f>
        <v>IMG_4163.jpeg</v>
      </c>
      <c r="F39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399" s="5"/>
    </row>
    <row r="400" ht="15.75" customHeight="1">
      <c r="A400" s="4">
        <v>45936.5761440162</v>
      </c>
      <c r="B400" s="4">
        <v>45922.76222222223</v>
      </c>
      <c r="C400" s="5" t="s">
        <v>7</v>
      </c>
      <c r="D400" s="6" t="str">
        <f>HYPERLINK("https://mail.google.com/mail?extsrc=sync&amp;client=docs&amp;plid=ACUX6DNpif38kXZzop2KZbTMbpQRtFe7bE2sX7E", "Identification")</f>
        <v>Identification</v>
      </c>
      <c r="E400" s="6" t="str">
        <f>HYPERLINK("https://drive.google.com/file/d/1-JmwDWVhgfiAcDDlydAx_JTtr5L0evwW/view", "Identification.pdf")</f>
        <v>Identification.pdf</v>
      </c>
      <c r="F40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0" s="5"/>
    </row>
    <row r="401" ht="15.75" customHeight="1">
      <c r="A401" s="4">
        <v>45936.57602957176</v>
      </c>
      <c r="B401" s="4">
        <v>45923.60988425926</v>
      </c>
      <c r="C401" s="5" t="s">
        <v>8</v>
      </c>
      <c r="D401" s="6" t="str">
        <f>HYPERLINK("https://mail.google.com/mail?extsrc=sync&amp;client=docs&amp;plid=ACUX6DPhrvzRZpsS4QcHC6Yp97GyjmQPXGNfqhk", "Fwd: 5132 Rosemead Blvd #1/2")</f>
        <v>Fwd: 5132 Rosemead Blvd #1/2</v>
      </c>
      <c r="E401" s="6" t="str">
        <f>HYPERLINK("https://drive.google.com/file/d/1ZAZuNQIH5iHA0Nc7GtYG80EC58DkaAdn/view", "image001.jpg")</f>
        <v>image001.jpg</v>
      </c>
      <c r="F40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1" s="5"/>
    </row>
    <row r="402" ht="15.75" customHeight="1">
      <c r="A402" s="4">
        <v>45936.57602958333</v>
      </c>
      <c r="B402" s="4">
        <v>45923.60988425926</v>
      </c>
      <c r="C402" s="5" t="s">
        <v>8</v>
      </c>
      <c r="D402" s="6" t="str">
        <f>HYPERLINK("https://mail.google.com/mail?extsrc=sync&amp;client=docs&amp;plid=ACUX6DPhrvzRZpsS4QcHC6Yp97GyjmQPXGNfqhk", "Fwd: 5132 Rosemead Blvd #2/2")</f>
        <v>Fwd: 5132 Rosemead Blvd #2/2</v>
      </c>
      <c r="E402" s="6" t="str">
        <f>HYPERLINK("https://drive.google.com/file/d/1_Y_mKcHdaDdZLaP7JX09zSjRm31cakYK/view", "image002.png")</f>
        <v>image002.png</v>
      </c>
      <c r="F40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2" s="5"/>
    </row>
    <row r="403" ht="15.75" customHeight="1">
      <c r="A403" s="4">
        <v>45936.57607072916</v>
      </c>
      <c r="B403" s="4">
        <v>45923.60988425926</v>
      </c>
      <c r="C403" s="5" t="s">
        <v>8</v>
      </c>
      <c r="D403" s="6" t="str">
        <f>HYPERLINK("https://mail.google.com/mail?extsrc=sync&amp;client=docs&amp;plid=ACUX6DPhrvzRZpsS4QcHC6Yp97GyjmQPXGNfqhk", "Fwd: 5132 Rosemead Blvd")</f>
        <v>Fwd: 5132 Rosemead Blvd</v>
      </c>
      <c r="E403" s="6" t="str">
        <f>HYPERLINK("https://drive.google.com/file/d/1rtwstX_f1qz5aeZ5KaEbVCypKrJb7lSH/view", "Fwd 5132 Rosemead Blvd.pdf")</f>
        <v>Fwd 5132 Rosemead Blvd.pdf</v>
      </c>
      <c r="F40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3" s="5"/>
    </row>
    <row r="404" ht="15.75" customHeight="1">
      <c r="A404" s="4">
        <v>45936.57598653935</v>
      </c>
      <c r="B404" s="4">
        <v>45923.61378472223</v>
      </c>
      <c r="C404" s="5" t="s">
        <v>7</v>
      </c>
      <c r="D404" s="6" t="str">
        <f>HYPERLINK("https://mail.google.com/mail?extsrc=sync&amp;client=docs&amp;plid=ACUX6DOG6gqHBB5_oLQ1KJpb_l-hLpxLUB3hvpo", "Fwd: These are all his properties")</f>
        <v>Fwd: These are all his properties</v>
      </c>
      <c r="E404" s="6" t="str">
        <f>HYPERLINK("https://drive.google.com/file/d/1xNM6nAVon8eixpyUG3QI_Q_HBOZrXg68/view", "Fwd These are all his properties.pdf")</f>
        <v>Fwd These are all his properties.pdf</v>
      </c>
      <c r="F40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4" s="5"/>
    </row>
    <row r="405" ht="15.75" customHeight="1">
      <c r="A405" s="4">
        <v>45936.575946377314</v>
      </c>
      <c r="B405" s="4">
        <v>45923.618379629625</v>
      </c>
      <c r="C405" s="5" t="s">
        <v>7</v>
      </c>
      <c r="D405" s="6" t="str">
        <f t="shared" ref="D405:D406" si="69">HYPERLINK("https://mail.google.com/mail?extsrc=sync&amp;client=docs&amp;plid=ACUX6DOG6gqHBB5_oLQ1KJpb_l-hLpxLUB3hvpo", "Re: These are all his properties")</f>
        <v>Re: These are all his properties</v>
      </c>
      <c r="E405" s="6" t="str">
        <f>HYPERLINK("https://drive.google.com/file/d/1GKiQl4dFCjrT_n4c6JwPYDw2VF9BGeQk/view", "IMG_4960.png")</f>
        <v>IMG_4960.png</v>
      </c>
      <c r="F40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5" s="5"/>
    </row>
    <row r="406" ht="15.75" customHeight="1">
      <c r="A406" s="4">
        <v>45936.57596714121</v>
      </c>
      <c r="B406" s="4">
        <v>45923.618379629625</v>
      </c>
      <c r="C406" s="5" t="s">
        <v>7</v>
      </c>
      <c r="D406" s="6" t="str">
        <f t="shared" si="69"/>
        <v>Re: These are all his properties</v>
      </c>
      <c r="E406" s="6" t="str">
        <f>HYPERLINK("https://drive.google.com/file/d/1NS2qb3LanKyFyA4_73duLakik9Qgu4oU/view", "Re These are all his properties.pdf")</f>
        <v>Re These are all his properties.pdf</v>
      </c>
      <c r="F40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6" s="5"/>
    </row>
    <row r="407" ht="15.75" customHeight="1">
      <c r="A407" s="4">
        <v>45936.57591050926</v>
      </c>
      <c r="B407" s="4">
        <v>45926.54675925926</v>
      </c>
      <c r="C407" s="5" t="s">
        <v>7</v>
      </c>
      <c r="D407" s="6" t="str">
        <f>HYPERLINK("https://mail.google.com/mail?extsrc=sync&amp;client=docs&amp;plid=ACUX6DMNBS_AFuPRPQlQEkhbp1u13Q2d9prScqs", "Re: Nuha Sayegh Mia, Jordan")</f>
        <v>Re: Nuha Sayegh Mia, Jordan</v>
      </c>
      <c r="E407" s="6" t="str">
        <f>HYPERLINK("https://drive.google.com/file/d/1VMDWhf-1Rv58dZIxwnQvbXVbnLC5AC8L/view", "Re Nuha Sayegh Mia, Jordan.pdf")</f>
        <v>Re Nuha Sayegh Mia, Jordan.pdf</v>
      </c>
      <c r="F40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7" s="5"/>
    </row>
    <row r="408" ht="15.75" customHeight="1">
      <c r="A408" s="4">
        <v>45936.575860717596</v>
      </c>
      <c r="B408" s="4">
        <v>45926.53570601852</v>
      </c>
      <c r="C408" s="5" t="s">
        <v>7</v>
      </c>
      <c r="D408" s="6" t="str">
        <f>HYPERLINK("https://mail.google.com/mail?extsrc=sync&amp;client=docs&amp;plid=ACUX6DMNBS_AFuPRPQlQEkhbp1u13Q2d9prScqs", "Nuha Sayegh Mia, Jordan #1/2")</f>
        <v>Nuha Sayegh Mia, Jordan #1/2</v>
      </c>
      <c r="E408" s="6" t="str">
        <f>HYPERLINK("https://drive.google.com/file/d/166VZmeP5CHOSSRsi6zuIgEajlAbCnLpO/view", "IMG_0169.jpeg")</f>
        <v>IMG_0169.jpeg</v>
      </c>
      <c r="F40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8" s="5"/>
    </row>
    <row r="409" ht="15.75" customHeight="1">
      <c r="A409" s="4">
        <v>45936.575861192134</v>
      </c>
      <c r="B409" s="4">
        <v>45926.53570601852</v>
      </c>
      <c r="C409" s="5" t="s">
        <v>7</v>
      </c>
      <c r="D409" s="6" t="str">
        <f>HYPERLINK("https://mail.google.com/mail?extsrc=sync&amp;client=docs&amp;plid=ACUX6DMNBS_AFuPRPQlQEkhbp1u13Q2d9prScqs", "Nuha Sayegh Mia, Jordan #2/2")</f>
        <v>Nuha Sayegh Mia, Jordan #2/2</v>
      </c>
      <c r="E409" s="6" t="str">
        <f>HYPERLINK("https://drive.google.com/file/d/1Yb8OCttM9tvNCm8lnrHRNywzA8kAVh0R/view", "IMG_0168.jpeg")</f>
        <v>IMG_0168.jpeg</v>
      </c>
      <c r="F40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09" s="5"/>
    </row>
    <row r="410" ht="15.75" customHeight="1">
      <c r="A410" s="4">
        <v>45936.57588792824</v>
      </c>
      <c r="B410" s="4">
        <v>45926.53570601852</v>
      </c>
      <c r="C410" s="5" t="s">
        <v>7</v>
      </c>
      <c r="D410" s="6" t="str">
        <f>HYPERLINK("https://mail.google.com/mail?extsrc=sync&amp;client=docs&amp;plid=ACUX6DMNBS_AFuPRPQlQEkhbp1u13Q2d9prScqs", "Nuha Sayegh Mia, Jordan")</f>
        <v>Nuha Sayegh Mia, Jordan</v>
      </c>
      <c r="E410" s="6" t="str">
        <f>HYPERLINK("https://drive.google.com/file/d/1CWQAFHzDKqYBN8tkpq38io_ZiyAvCILA/view", "Nuha Sayegh Mia, Jordan.pdf")</f>
        <v>Nuha Sayegh Mia, Jordan.pdf</v>
      </c>
      <c r="F41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0" s="5"/>
    </row>
    <row r="411" ht="15.75" customHeight="1">
      <c r="A411" s="4">
        <v>45936.57577678241</v>
      </c>
      <c r="B411" s="4">
        <v>45923.60934027778</v>
      </c>
      <c r="C411" s="5" t="s">
        <v>8</v>
      </c>
      <c r="D411" s="6" t="str">
        <f>HYPERLINK("https://mail.google.com/mail?extsrc=sync&amp;client=docs&amp;plid=ACUX6DNU6TSRqXz6Y2jYzBTd8NMBl01oJZZsZD4", "Fwd: [EXTERNAL] 75-79F4-04C #1/5")</f>
        <v>Fwd: [EXTERNAL] 75-79F4-04C #1/5</v>
      </c>
      <c r="E411" s="6" t="str">
        <f>HYPERLINK("https://drive.google.com/file/d/1ryPBygZUmhN-9PuFVbkRjDa7sHJ152KR/view", "image002.png")</f>
        <v>image002.png</v>
      </c>
      <c r="F41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1" s="5"/>
    </row>
    <row r="412" ht="15.75" customHeight="1">
      <c r="A412" s="4">
        <v>45936.57577802084</v>
      </c>
      <c r="B412" s="4">
        <v>45923.60934027778</v>
      </c>
      <c r="C412" s="5" t="s">
        <v>8</v>
      </c>
      <c r="D412" s="6" t="str">
        <f>HYPERLINK("https://mail.google.com/mail?extsrc=sync&amp;client=docs&amp;plid=ACUX6DNU6TSRqXz6Y2jYzBTd8NMBl01oJZZsZD4", "Fwd: [EXTERNAL] 75-79F4-04C #2/5")</f>
        <v>Fwd: [EXTERNAL] 75-79F4-04C #2/5</v>
      </c>
      <c r="E412" s="6" t="str">
        <f>HYPERLINK("https://drive.google.com/file/d/17EYC61YKL_UIuV_ZT0hhkUCdckTJ8_3F/view", "image001.jpg")</f>
        <v>image001.jpg</v>
      </c>
      <c r="F41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2" s="5"/>
    </row>
    <row r="413" ht="15.75" customHeight="1">
      <c r="A413" s="4">
        <v>45936.575778032406</v>
      </c>
      <c r="B413" s="4">
        <v>45923.60934027778</v>
      </c>
      <c r="C413" s="5" t="s">
        <v>8</v>
      </c>
      <c r="D413" s="6" t="str">
        <f>HYPERLINK("https://mail.google.com/mail?extsrc=sync&amp;client=docs&amp;plid=ACUX6DNU6TSRqXz6Y2jYzBTd8NMBl01oJZZsZD4", "Fwd: [EXTERNAL] 75-79F4-04C #3/5")</f>
        <v>Fwd: [EXTERNAL] 75-79F4-04C #3/5</v>
      </c>
      <c r="E413" s="6" t="str">
        <f>HYPERLINK("https://drive.google.com/file/d/1u322YlM-9LNPJ_GY1jqcL_NFJxFioLJd/view", "IMG_9940.png")</f>
        <v>IMG_9940.png</v>
      </c>
      <c r="F41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3" s="5"/>
    </row>
    <row r="414" ht="15.75" customHeight="1">
      <c r="A414" s="4">
        <v>45936.575778032406</v>
      </c>
      <c r="B414" s="4">
        <v>45923.60934027778</v>
      </c>
      <c r="C414" s="5" t="s">
        <v>8</v>
      </c>
      <c r="D414" s="6" t="str">
        <f>HYPERLINK("https://mail.google.com/mail?extsrc=sync&amp;client=docs&amp;plid=ACUX6DNU6TSRqXz6Y2jYzBTd8NMBl01oJZZsZD4", "Fwd: [EXTERNAL] 75-79F4-04C #4/5")</f>
        <v>Fwd: [EXTERNAL] 75-79F4-04C #4/5</v>
      </c>
      <c r="E414" s="6" t="str">
        <f>HYPERLINK("https://drive.google.com/file/d/18XiJfYpl1aba1-9Ce-uIYEtkZ0IUXzzE/view", "IMG_9929.jpeg")</f>
        <v>IMG_9929.jpeg</v>
      </c>
      <c r="F41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4" s="5"/>
    </row>
    <row r="415" ht="15.75" customHeight="1">
      <c r="A415" s="4">
        <v>45936.57577804398</v>
      </c>
      <c r="B415" s="4">
        <v>45923.60934027778</v>
      </c>
      <c r="C415" s="5" t="s">
        <v>8</v>
      </c>
      <c r="D415" s="6" t="str">
        <f>HYPERLINK("https://mail.google.com/mail?extsrc=sync&amp;client=docs&amp;plid=ACUX6DNU6TSRqXz6Y2jYzBTd8NMBl01oJZZsZD4", "Fwd: [EXTERNAL] 75-79F4-04C #5/5")</f>
        <v>Fwd: [EXTERNAL] 75-79F4-04C #5/5</v>
      </c>
      <c r="E415" s="6" t="str">
        <f>HYPERLINK("https://drive.google.com/file/d/1baTwTEdTEDI1D9ixPc4XmX8T03dAYBQ6/view", "IMG_9941.jpeg")</f>
        <v>IMG_9941.jpeg</v>
      </c>
      <c r="F41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5" s="5"/>
    </row>
    <row r="416" ht="15.75" customHeight="1">
      <c r="A416" s="4">
        <v>45936.57579928241</v>
      </c>
      <c r="B416" s="4">
        <v>45923.60934027778</v>
      </c>
      <c r="C416" s="5" t="s">
        <v>8</v>
      </c>
      <c r="D416" s="6" t="str">
        <f>HYPERLINK("https://mail.google.com/mail?extsrc=sync&amp;client=docs&amp;plid=ACUX6DNU6TSRqXz6Y2jYzBTd8NMBl01oJZZsZD4", "Fwd: [EXTERNAL] 75-79F4-04C")</f>
        <v>Fwd: [EXTERNAL] 75-79F4-04C</v>
      </c>
      <c r="E416" s="6" t="str">
        <f>HYPERLINK("https://drive.google.com/file/d/11N5JCqZQMeHZx8FRbALybJ3tw7R-ELqm/view", "Fwd [EXTERNAL] 75-79F4-04C.pdf")</f>
        <v>Fwd [EXTERNAL] 75-79F4-04C.pdf</v>
      </c>
      <c r="F41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6" s="5"/>
    </row>
    <row r="417" ht="15.75" customHeight="1">
      <c r="A417" s="4">
        <v>45936.5756690625</v>
      </c>
      <c r="B417" s="4">
        <v>45926.448969907404</v>
      </c>
      <c r="C417" s="5" t="s">
        <v>7</v>
      </c>
      <c r="D417" s="6" t="str">
        <f>HYPERLINK("https://mail.google.com/mail?extsrc=sync&amp;client=docs&amp;plid=ACUX6DM2BpaGsX8yCnwXxZqDWdTmHKaJyUq6Uv0", "Fwd: Maknouni Family Law Firm Retainer Agreement")</f>
        <v>Fwd: Maknouni Family Law Firm Retainer Agreement</v>
      </c>
      <c r="E417" s="6" t="str">
        <f>HYPERLINK("https://drive.google.com/file/d/1IOEeIHrznCuI4gVZn6FIaAJTdCQgMmSN/view", "Maknouni Family Law Firm Retainer Agreement ,.pdf")</f>
        <v>Maknouni Family Law Firm Retainer Agreement ,.pdf</v>
      </c>
      <c r="F41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7" s="5"/>
    </row>
    <row r="418" ht="15.75" customHeight="1">
      <c r="A418" s="4">
        <v>45936.57563886574</v>
      </c>
      <c r="B418" s="4">
        <v>45923.58987268519</v>
      </c>
      <c r="C418" s="5" t="s">
        <v>7</v>
      </c>
      <c r="D418" s="6" t="str">
        <f>HYPERLINK("https://mail.google.com/mail?extsrc=sync&amp;client=docs&amp;plid=ACUX6DN9r3568KHMaFHy5RRQ3LjHdEflTd3SwXk", "")</f>
        <v/>
      </c>
      <c r="E418" s="6" t="str">
        <f>HYPERLINK("https://drive.google.com/file/d/1OYJaS3JeA16UiIlBvx_7FPuTX6Io-LPI/view", "1759783733768.pdf")</f>
        <v>1759783733768.pdf</v>
      </c>
      <c r="F41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8" s="5"/>
    </row>
    <row r="419" ht="15.75" customHeight="1">
      <c r="A419" s="4">
        <v>45936.57537552083</v>
      </c>
      <c r="B419" s="4">
        <v>45929.832407407404</v>
      </c>
      <c r="C419" s="5" t="s">
        <v>8</v>
      </c>
      <c r="D419" s="6" t="str">
        <f>HYPERLINK("https://mail.google.com/mail?extsrc=sync&amp;client=docs&amp;plid=ACUX6DP-ja_RCmJYkh5kD5ztQbLpqwl7Xlu1Qio", "My lawyer Fwd: My Contact Information")</f>
        <v>My lawyer Fwd: My Contact Information</v>
      </c>
      <c r="E419" s="6" t="str">
        <f>HYPERLINK("https://drive.google.com/file/d/1c4R4e-6LV7b3CZqAg9fFNuJNFnJVej0W/view", "My lawyer Fwd My Contact Information.pdf")</f>
        <v>My lawyer Fwd My Contact Information.pdf</v>
      </c>
      <c r="F41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19" s="5"/>
    </row>
    <row r="420" ht="15.75" customHeight="1">
      <c r="A420" s="4">
        <v>45936.575329976855</v>
      </c>
      <c r="B420" s="4">
        <v>45932.88856481481</v>
      </c>
      <c r="C420" s="5" t="s">
        <v>8</v>
      </c>
      <c r="D420" s="6" t="str">
        <f t="shared" ref="D420:D421" si="70">HYPERLINK("https://mail.google.com/mail?extsrc=sync&amp;client=docs&amp;plid=ACUX6DNqofO2QPrGK0DSfjYBZhpvTwvCAoED2PQ", "Like what the fuck you write him back")</f>
        <v>Like what the fuck you write him back</v>
      </c>
      <c r="E420" s="6" t="str">
        <f>HYPERLINK("https://drive.google.com/file/d/1CEMnO5QbwIJ9tVoIQBC78FUavHw-6mTV/view", "92119.jpg")</f>
        <v>92119.jpg</v>
      </c>
      <c r="F42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0" s="5"/>
    </row>
    <row r="421" ht="15.75" customHeight="1">
      <c r="A421" s="4">
        <v>45936.57535358796</v>
      </c>
      <c r="B421" s="4">
        <v>45932.88856481481</v>
      </c>
      <c r="C421" s="5" t="s">
        <v>8</v>
      </c>
      <c r="D421" s="6" t="str">
        <f t="shared" si="70"/>
        <v>Like what the fuck you write him back</v>
      </c>
      <c r="E421" s="6" t="str">
        <f>HYPERLINK("https://drive.google.com/file/d/16QabaApeRa72-xlUe-PikqRkV3dOItWi/view", "Like what the fuck you write him back.pdf")</f>
        <v>Like what the fuck you write him back.pdf</v>
      </c>
      <c r="F42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1" s="5"/>
    </row>
    <row r="422" ht="15.75" customHeight="1">
      <c r="A422" s="4">
        <v>45936.575277951386</v>
      </c>
      <c r="B422" s="4">
        <v>45934.92915509259</v>
      </c>
      <c r="C422" s="5" t="s">
        <v>7</v>
      </c>
      <c r="D422" s="6" t="str">
        <f>HYPERLINK("https://mail.google.com/mail?extsrc=sync&amp;client=docs&amp;plid=ACUX6DOl6XPA-x72zU0T2SFena02AivWztjQ8Hg", "Kathy Heart, an Uber gift from Eric Jones is coming your way!")</f>
        <v>Kathy Heart, an Uber gift from Eric Jones is coming your way!</v>
      </c>
      <c r="E422" s="6" t="str">
        <f>HYPERLINK("https://drive.google.com/file/d/1bwJQS_Q7uYKW-SY0vdpsGnGRfqnsQuBp/view", "Kathy Heart, an Uber gift from Eric Jones is coming your way!.pdf")</f>
        <v>Kathy Heart, an Uber gift from Eric Jones is coming your way!.pdf</v>
      </c>
      <c r="F42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2" s="5"/>
    </row>
    <row r="423" ht="15.75" customHeight="1">
      <c r="A423" s="4">
        <v>45936.575256041666</v>
      </c>
      <c r="B423" s="4">
        <v>45929.947499999995</v>
      </c>
      <c r="C423" s="5" t="s">
        <v>8</v>
      </c>
      <c r="D423" s="6" t="str">
        <f>HYPERLINK("https://mail.google.com/mail?extsrc=sync&amp;client=docs&amp;plid=ACUX6DOG-S0q12PdV5mvghl2HijUSuWYL-ZJVP8", "Attorney Assessment: Sharon Paris Babakhan - Criminal Defense and Domestic Violence Representation")</f>
        <v>Attorney Assessment: Sharon Paris Babakhan - Criminal Defense and Domestic Violence Representation</v>
      </c>
      <c r="E423" s="6" t="str">
        <f>HYPERLINK("https://drive.google.com/file/d/1xkIGSf6AYp8TdBnV5HeBUDDrs97kzXYq/view", "Attorney Assessment Sharon Paris Babakhan - Criminal Defense and Domestic Violence Representation.pdf")</f>
        <v>Attorney Assessment Sharon Paris Babakhan - Criminal Defense and Domestic Violence Representation.pdf</v>
      </c>
      <c r="F42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3" s="5"/>
    </row>
    <row r="424" ht="15.75" customHeight="1">
      <c r="A424" s="4">
        <v>45936.57523296296</v>
      </c>
      <c r="B424" s="4">
        <v>45929.74386574074</v>
      </c>
      <c r="C424" s="5" t="s">
        <v>7</v>
      </c>
      <c r="D424" s="6" t="str">
        <f>HYPERLINK("https://mail.google.com/mail?extsrc=sync&amp;client=docs&amp;plid=ACUX6DPrnVM7zpgYimdc0dnzWWsoQzs19vWepBI", "'Lara official letter.pdf' shared with you")</f>
        <v>'Lara official letter.pdf' shared with you</v>
      </c>
      <c r="E424" s="6" t="str">
        <f>HYPERLINK("https://drive.google.com/file/d/1Zsz9BNKO3PsLfbOzYFzlNxaCSh7NOd2p/view", "Lara official letter.pdf")</f>
        <v>Lara official letter.pdf</v>
      </c>
      <c r="F42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4" s="5"/>
    </row>
    <row r="425" ht="15.75" customHeight="1">
      <c r="A425" s="4">
        <v>45936.57520875</v>
      </c>
      <c r="B425" s="4">
        <v>45929.419907407406</v>
      </c>
      <c r="C425" s="5" t="s">
        <v>7</v>
      </c>
      <c r="D425" s="6" t="str">
        <f>HYPERLINK("https://mail.google.com/mail?extsrc=sync&amp;client=docs&amp;plid=ACUX6DMqXr83EZJ5XYRq6HfZVPjntj0lzkBsCmc", "Re: Draft Email for Tyler Polk - Drug Screen Results &amp; DCFS Clarification")</f>
        <v>Re: Draft Email for Tyler Polk - Drug Screen Results &amp; DCFS Clarification</v>
      </c>
      <c r="E425" s="6" t="str">
        <f>HYPERLINK("https://drive.google.com/file/d/1D7_Ktoso6e-Piprezlno_tWipdUY4k5w/view", "Re Draft Email for Tyler Polk - Drug Screen Results &amp; DCFS Clarification.pdf")</f>
        <v>Re Draft Email for Tyler Polk - Drug Screen Results &amp; DCFS Clarification.pdf</v>
      </c>
      <c r="F42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5" s="5"/>
    </row>
    <row r="426" ht="15.75" customHeight="1">
      <c r="A426" s="4">
        <v>45936.57517978009</v>
      </c>
      <c r="B426" s="4">
        <v>45936.27011574074</v>
      </c>
      <c r="C426" s="5" t="s">
        <v>7</v>
      </c>
      <c r="D426" s="6" t="str">
        <f>HYPERLINK("https://mail.google.com/mail?extsrc=sync&amp;client=docs&amp;plid=ACUX6DO-z_CP_Fim-VO4WzBhSTGUVjDUJwXrNKw", "Re: Court Packet, Morning Corrections, and Updated PDFs (Dept. L — Oct 6)")</f>
        <v>Re: Court Packet, Morning Corrections, and Updated PDFs (Dept. L — Oct 6)</v>
      </c>
      <c r="E426" s="6" t="str">
        <f>HYPERLINK("https://drive.google.com/file/d/1rZXyBLCkPwStIeiaM9vseNjTa97nH9WE/view", "Re Court Packet, Morning Corrections, and Updated PDFs (Dept. L — Oct 6).pdf")</f>
        <v>Re Court Packet, Morning Corrections, and Updated PDFs (Dept. L — Oct 6).pdf</v>
      </c>
      <c r="F42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6" s="5"/>
    </row>
    <row r="427" ht="15.75" customHeight="1">
      <c r="A427" s="4">
        <v>45936.57515377315</v>
      </c>
      <c r="B427" s="4">
        <v>45929.924525462964</v>
      </c>
      <c r="C427" s="5" t="s">
        <v>8</v>
      </c>
      <c r="D427" s="6" t="str">
        <f>HYPERLINK("https://mail.google.com/mail?extsrc=sync&amp;client=docs&amp;plid=ACUX6DMW-OrgIARqWCCuK2E65sok_OQVxroQb-8", "Fwd: do you approve before I send this to social worker?")</f>
        <v>Fwd: do you approve before I send this to social worker?</v>
      </c>
      <c r="E427" s="6" t="str">
        <f>HYPERLINK("https://drive.google.com/file/d/16UswHMmXIL90WDLnzMyozIWU0RXlGFJL/view", "Letter for Nuha .pdf")</f>
        <v>Letter for Nuha .pdf</v>
      </c>
      <c r="F42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7" s="5"/>
    </row>
    <row r="428" ht="15.75" customHeight="1">
      <c r="A428" s="4">
        <v>45936.57513239583</v>
      </c>
      <c r="B428" s="4">
        <v>45930.000659722224</v>
      </c>
      <c r="C428" s="5" t="s">
        <v>7</v>
      </c>
      <c r="D428" s="6" t="str">
        <f>HYPERLINK("https://mail.google.com/mail?extsrc=sync&amp;client=docs&amp;plid=ACUX6DOCZGs6fn0c4d-WjqpUUH2eA2dqtosMjoQ", "Re: Confidential Mediation Intake — Outstanding Fields and Documentation Plan")</f>
        <v>Re: Confidential Mediation Intake — Outstanding Fields and Documentation Plan</v>
      </c>
      <c r="E428" s="6" t="str">
        <f>HYPERLINK("https://drive.google.com/file/d/1Ra52a2K2y1-oOshpId-MmQfEo6RT42oM/view", "Re Confidential Mediation Intake — Outstanding Fields and Documentation Plan.pdf")</f>
        <v>Re Confidential Mediation Intake — Outstanding Fields and Documentation Plan.pdf</v>
      </c>
      <c r="F42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8" s="5"/>
    </row>
    <row r="429" ht="15.75" customHeight="1">
      <c r="A429" s="4">
        <v>45936.57508658565</v>
      </c>
      <c r="B429" s="4">
        <v>45930.64222222222</v>
      </c>
      <c r="C429" s="5" t="s">
        <v>7</v>
      </c>
      <c r="D429" s="6" t="str">
        <f t="shared" ref="D429:D430" si="71">HYPERLINK("https://mail.google.com/mail?extsrc=sync&amp;client=docs&amp;plid=ACUX6DP8mEa95PLlgEHh8cbj6dxbxcMzWpb6Pn8", "(Joyce letter)")</f>
        <v>(Joyce letter)</v>
      </c>
      <c r="E429" s="6" t="str">
        <f>HYPERLINK("https://drive.google.com/file/d/1TabEr8_RuOf6ZlkmnifPHyTlBSM6tFrg/view", "Nuha Sayegh.docx")</f>
        <v>Nuha Sayegh.docx</v>
      </c>
      <c r="F42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29" s="5"/>
    </row>
    <row r="430" ht="15.75" customHeight="1">
      <c r="A430" s="4">
        <v>45936.57510747685</v>
      </c>
      <c r="B430" s="4">
        <v>45930.64222222222</v>
      </c>
      <c r="C430" s="5" t="s">
        <v>7</v>
      </c>
      <c r="D430" s="6" t="str">
        <f t="shared" si="71"/>
        <v>(Joyce letter)</v>
      </c>
      <c r="E430" s="6" t="str">
        <f>HYPERLINK("https://drive.google.com/file/d/1MOyoCcL_HrvwICqZCnStNx-M7QXhfypV/view", "(Joyce letter).pdf")</f>
        <v>(Joyce letter).pdf</v>
      </c>
      <c r="F43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0" s="5"/>
    </row>
    <row r="431" ht="15.75" customHeight="1">
      <c r="A431" s="4">
        <v>45936.57504486111</v>
      </c>
      <c r="B431" s="4">
        <v>45930.75094907408</v>
      </c>
      <c r="C431" s="5" t="s">
        <v>7</v>
      </c>
      <c r="D431" s="6" t="str">
        <f t="shared" ref="D431:D432" si="72">HYPERLINK("https://mail.google.com/mail?extsrc=sync&amp;client=docs&amp;plid=ACUX6DNaRWWbsZ5ZPjea20QIs9StjY6JNpmS9Ok", "This is letter from therapy I don’t know if she was a psychotherapist lol")</f>
        <v>This is letter from therapy I don’t know if she was a psychotherapist lol</v>
      </c>
      <c r="E431" s="6" t="str">
        <f>HYPERLINK("https://drive.google.com/file/d/1sQvYKLY7DikrIS-3cvLanfAbygJtoagj/view", "IMG_2913.jpg")</f>
        <v>IMG_2913.jpg</v>
      </c>
      <c r="F43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1" s="5"/>
    </row>
    <row r="432" ht="15.75" customHeight="1">
      <c r="A432" s="4">
        <v>45936.57506462963</v>
      </c>
      <c r="B432" s="4">
        <v>45930.75094907408</v>
      </c>
      <c r="C432" s="5" t="s">
        <v>7</v>
      </c>
      <c r="D432" s="6" t="str">
        <f t="shared" si="72"/>
        <v>This is letter from therapy I don’t know if she was a psychotherapist lol</v>
      </c>
      <c r="E432" s="6" t="str">
        <f>HYPERLINK("https://drive.google.com/file/d/1lrzdtWwmqEhJfTvpQuJJ_-f3XfxW7t4O/view", "This is letter from therapy I don’t know if she was a psychotherapist lol.pdf")</f>
        <v>This is letter from therapy I don’t know if she was a psychotherapist lol.pdf</v>
      </c>
      <c r="F43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2" s="5"/>
    </row>
    <row r="433" ht="15.75" customHeight="1">
      <c r="A433" s="4">
        <v>45936.575019317126</v>
      </c>
      <c r="B433" s="4">
        <v>45928.72394675926</v>
      </c>
      <c r="C433" s="5" t="s">
        <v>7</v>
      </c>
      <c r="D433" s="6" t="str">
        <f>HYPERLINK("https://mail.google.com/mail?extsrc=sync&amp;client=docs&amp;plid=ACUX6DMnsKa9Ku2TaxMRYNh79fkDAiKSxxsZr8s", "Re: Court docs ready - Oct 1 hearing package")</f>
        <v>Re: Court docs ready - Oct 1 hearing package</v>
      </c>
      <c r="E433" s="6" t="str">
        <f>HYPERLINK("https://drive.google.com/file/d/1y3AhBQiu6mqdDHWPVOK6S1dW_oYc8vQi/view", "Re Court docs ready - Oct 1 hearing package.pdf")</f>
        <v>Re Court docs ready - Oct 1 hearing package.pdf</v>
      </c>
      <c r="F43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3" s="5"/>
    </row>
    <row r="434" ht="15.75" customHeight="1">
      <c r="A434" s="4">
        <v>45936.57499650463</v>
      </c>
      <c r="B434" s="4">
        <v>45926.844409722224</v>
      </c>
      <c r="C434" s="5" t="s">
        <v>8</v>
      </c>
      <c r="D434" s="6" t="str">
        <f>HYPERLINK("https://mail.google.com/mail?extsrc=sync&amp;client=docs&amp;plid=ACUX6DNMFfeFUdeb26HId9mzb89j9y0fhx_f5h8", "Fwd: 5132 Rosemead blvd San Gabriel/// Nuha Sayegh")</f>
        <v>Fwd: 5132 Rosemead blvd San Gabriel/// Nuha Sayegh</v>
      </c>
      <c r="E434" s="6" t="str">
        <f>HYPERLINK("https://drive.google.com/file/d/1eNTSFF1mdBunYrn_DrDSuGXFP50WAxLU/view", "Fwd 5132 Rosemead blvd San Gabriel Nuha Sayegh.pdf")</f>
        <v>Fwd 5132 Rosemead blvd San Gabriel Nuha Sayegh.pdf</v>
      </c>
      <c r="F43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4" s="5"/>
    </row>
    <row r="435" ht="15.75" customHeight="1">
      <c r="A435" s="4">
        <v>45936.5749730324</v>
      </c>
      <c r="B435" s="4">
        <v>45932.3680787037</v>
      </c>
      <c r="C435" s="5" t="s">
        <v>7</v>
      </c>
      <c r="D435" s="6" t="str">
        <f>HYPERLINK("https://mail.google.com/mail?extsrc=sync&amp;client=docs&amp;plid=ACUX6DOqFIE9V5ISrxXHhiViw64ADvlxevi2f3U", "Re: OfficialDocumentEvidenceofProactiveDrugScreenPassedTest")</f>
        <v>Re: OfficialDocumentEvidenceofProactiveDrugScreenPassedTest</v>
      </c>
      <c r="E435" s="6" t="str">
        <f>HYPERLINK("https://drive.google.com/file/d/1BC4gfXX3EXQFPpQhGw494gGjTxTaXk4O/view", "Re OfficialDocumentEvidenceofProactiveDrugScreenPassedTest.pdf")</f>
        <v>Re OfficialDocumentEvidenceofProactiveDrugScreenPassedTest.pdf</v>
      </c>
      <c r="F43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5" s="5"/>
    </row>
    <row r="436" ht="15.75" customHeight="1">
      <c r="A436" s="4">
        <v>45936.57495175926</v>
      </c>
      <c r="B436" s="4">
        <v>45929.42155092592</v>
      </c>
      <c r="C436" s="5" t="s">
        <v>7</v>
      </c>
      <c r="D436" s="6" t="str">
        <f>HYPERLINK("https://mail.google.com/mail?extsrc=sync&amp;client=docs&amp;plid=ACUX6DOqFIE9V5ISrxXHhiViw64ADvlxevi2f3U", "OfficialDocumentEvidenceofProactiveDrugScreenPassedTest")</f>
        <v>OfficialDocumentEvidenceofProactiveDrugScreenPassedTest</v>
      </c>
      <c r="E436" s="6" t="str">
        <f>HYPERLINK("https://drive.google.com/file/d/1R4VQEB-XUqHPH2eC3xivoYTcgKduehHB/view", "OfficialDocumentEvidenceofProactiveDrugScreenPassedTest.pdf")</f>
        <v>OfficialDocumentEvidenceofProactiveDrugScreenPassedTest.pdf</v>
      </c>
      <c r="F43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6" s="5"/>
    </row>
    <row r="437" ht="15.75" customHeight="1">
      <c r="A437" s="4">
        <v>45936.57491445602</v>
      </c>
      <c r="B437" s="4">
        <v>45936.26548611111</v>
      </c>
      <c r="C437" s="5" t="s">
        <v>7</v>
      </c>
      <c r="D437" s="6" t="str">
        <f>HYPERLINK("https://mail.google.com/mail?extsrc=sync&amp;client=docs&amp;plid=ACUX6DOXR2UeAztmUQTrEVXqIlICtK82ymhGMFY", "Watch 'Oct 2025 Jordan Peterson Health Update' on YouTube")</f>
        <v>Watch 'Oct 2025 Jordan Peterson Health Update' on YouTube</v>
      </c>
      <c r="E437" s="6" t="str">
        <f>HYPERLINK("https://drive.google.com/file/d/1Wi4J8EwFy-4w8tRTh_NiZls2hB7kVqpi/view", "Watch Oct 2025 Jordan Peterson Health Update on YouTube.pdf")</f>
        <v>Watch Oct 2025 Jordan Peterson Health Update on YouTube.pdf</v>
      </c>
      <c r="F43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7" s="5"/>
    </row>
    <row r="438" ht="15.75" customHeight="1">
      <c r="A438" s="4">
        <v>45936.5748622338</v>
      </c>
      <c r="B438" s="4">
        <v>45929.95185185185</v>
      </c>
      <c r="C438" s="5" t="s">
        <v>7</v>
      </c>
      <c r="D438" s="6" t="str">
        <f t="shared" ref="D438:D439" si="73">HYPERLINK("https://mail.google.com/mail?extsrc=sync&amp;client=docs&amp;plid=ACUX6DOqPid_j9x0uEtwRYA4jFrOp7SV-_xe8jI", "I emailed you the full assessment on this attorney")</f>
        <v>I emailed you the full assessment on this attorney</v>
      </c>
      <c r="E438" s="6" t="str">
        <f>HYPERLINK("https://drive.google.com/file/d/1n9-yvu8EoxgxxPJX3LhuLRitSTM7BCXl/view", "A7B0E5D3-9168-4E5B-9AFD-A770A9542D1A.png")</f>
        <v>A7B0E5D3-9168-4E5B-9AFD-A770A9542D1A.png</v>
      </c>
      <c r="F43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8" s="5"/>
    </row>
    <row r="439" ht="15.75" customHeight="1">
      <c r="A439" s="4">
        <v>45936.57489212963</v>
      </c>
      <c r="B439" s="4">
        <v>45929.95185185185</v>
      </c>
      <c r="C439" s="5" t="s">
        <v>7</v>
      </c>
      <c r="D439" s="6" t="str">
        <f t="shared" si="73"/>
        <v>I emailed you the full assessment on this attorney</v>
      </c>
      <c r="E439" s="6" t="str">
        <f>HYPERLINK("https://drive.google.com/file/d/1qAtRls8Xg4OiGVUkjw06m_mtr1thJr5m/view", "I emailed you the full assessment on this attorney.pdf")</f>
        <v>I emailed you the full assessment on this attorney.pdf</v>
      </c>
      <c r="F43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39" s="5"/>
    </row>
    <row r="440" ht="15.75" customHeight="1">
      <c r="A440" s="4">
        <v>45936.574771643514</v>
      </c>
      <c r="B440" s="4">
        <v>45934.509629629625</v>
      </c>
      <c r="C440" s="5" t="s">
        <v>7</v>
      </c>
      <c r="D440" s="6" t="str">
        <f>HYPERLINK("https://mail.google.com/mail?extsrc=sync&amp;client=docs&amp;plid=ACUX6DPogHDCbDttX4k8hfR_-g0ZRMgYx7lKBbM", "What is this about? #1/2")</f>
        <v>What is this about? #1/2</v>
      </c>
      <c r="E440" s="6" t="str">
        <f>HYPERLINK("https://drive.google.com/file/d/1YTzCzRIISNVqEjdRB7InE_S-DHjBle_8/view", "ScreenRecording_10-04-2025 12-05-19_1.mp4")</f>
        <v>ScreenRecording_10-04-2025 12-05-19_1.mp4</v>
      </c>
      <c r="F44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0" s="5"/>
    </row>
    <row r="441" ht="15.75" customHeight="1">
      <c r="A441" s="4">
        <v>45936.57477255787</v>
      </c>
      <c r="B441" s="4">
        <v>45934.509629629625</v>
      </c>
      <c r="C441" s="5" t="s">
        <v>7</v>
      </c>
      <c r="D441" s="6" t="str">
        <f>HYPERLINK("https://mail.google.com/mail?extsrc=sync&amp;client=docs&amp;plid=ACUX6DPogHDCbDttX4k8hfR_-g0ZRMgYx7lKBbM", "What is this about? #2/2")</f>
        <v>What is this about? #2/2</v>
      </c>
      <c r="E441" s="6" t="str">
        <f>HYPERLINK("https://drive.google.com/file/d/1y7aeqJbU3su4eLbTF4CLD1ogk1gkAL6S/view", "ScreenRecording_10-04-2025 12-05-19_1.txt")</f>
        <v>ScreenRecording_10-04-2025 12-05-19_1.txt</v>
      </c>
      <c r="F44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1" s="5"/>
    </row>
    <row r="442" ht="15.75" customHeight="1">
      <c r="A442" s="4">
        <v>45936.57483515046</v>
      </c>
      <c r="B442" s="4">
        <v>45934.509629629625</v>
      </c>
      <c r="C442" s="5" t="s">
        <v>7</v>
      </c>
      <c r="D442" s="6" t="str">
        <f>HYPERLINK("https://mail.google.com/mail?extsrc=sync&amp;client=docs&amp;plid=ACUX6DPogHDCbDttX4k8hfR_-g0ZRMgYx7lKBbM", "What is this about?")</f>
        <v>What is this about?</v>
      </c>
      <c r="E442" s="6" t="str">
        <f>HYPERLINK("https://drive.google.com/file/d/1mWEYy3SyHoOlhI832fezwREsIuqrl8Il/view", "What is this about.pdf")</f>
        <v>What is this about.pdf</v>
      </c>
      <c r="F44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2" s="5"/>
    </row>
    <row r="443" ht="15.75" customHeight="1">
      <c r="A443" s="4">
        <v>45936.57449871528</v>
      </c>
      <c r="B443" s="4">
        <v>45927.75732638889</v>
      </c>
      <c r="C443" s="5" t="s">
        <v>7</v>
      </c>
      <c r="D443" s="6" t="str">
        <f t="shared" ref="D443:D444" si="74">HYPERLINK("https://mail.google.com/mail?extsrc=sync&amp;client=docs&amp;plid=ACUX6DM6v3ovZcx1x1punJRlrTUcn4Vsp8M-vDA", "LARA LETTER Fwd: Letter of Support")</f>
        <v>LARA LETTER Fwd: Letter of Support</v>
      </c>
      <c r="E443" s="6" t="str">
        <f>HYPERLINK("https://drive.google.com/file/d/1fYj8C_sd9HLm6FcTMvKAK5p3kCBWjQWE/view", "SUPPORT FOR NUHA SAYEGH (1).docx")</f>
        <v>SUPPORT FOR NUHA SAYEGH (1).docx</v>
      </c>
      <c r="F44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3" s="5"/>
    </row>
    <row r="444" ht="15.75" customHeight="1">
      <c r="A444" s="4">
        <v>45936.57451872685</v>
      </c>
      <c r="B444" s="4">
        <v>45927.75732638889</v>
      </c>
      <c r="C444" s="5" t="s">
        <v>7</v>
      </c>
      <c r="D444" s="6" t="str">
        <f t="shared" si="74"/>
        <v>LARA LETTER Fwd: Letter of Support</v>
      </c>
      <c r="E444" s="6" t="str">
        <f>HYPERLINK("https://drive.google.com/file/d/1chU9TyyutLjIqwqeqGDGHKONQ3BCViHw/view", "LARA LETTER Fwd Letter of Support.pdf")</f>
        <v>LARA LETTER Fwd Letter of Support.pdf</v>
      </c>
      <c r="F44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4" s="5"/>
    </row>
    <row r="445" ht="15.75" customHeight="1">
      <c r="A445" s="4">
        <v>45936.57447162037</v>
      </c>
      <c r="B445" s="4">
        <v>45929.85859953704</v>
      </c>
      <c r="C445" s="5" t="s">
        <v>7</v>
      </c>
      <c r="D445" s="6" t="str">
        <f>HYPERLINK("https://mail.google.com/mail?extsrc=sync&amp;client=docs&amp;plid=ACUX6DNiqqETW3erjmBVUlhBCgJfF6plEnwy23E", "Fwd: FW: 25PDRO01260 Sayegh vs Sayegh September 30, 2025 @ 10:15 am #1/3")</f>
        <v>Fwd: FW: 25PDRO01260 Sayegh vs Sayegh September 30, 2025 @ 10:15 am #1/3</v>
      </c>
      <c r="E445" s="6" t="str">
        <f>HYPERLINK("https://drive.google.com/file/d/14HJdBN60AzRCFsGuBqxCU9RpAx2eTeHX/view", "invite.ics")</f>
        <v>invite.ics</v>
      </c>
      <c r="F44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5" s="5"/>
    </row>
    <row r="446" ht="15.75" customHeight="1">
      <c r="A446" s="4">
        <v>45936.57447354167</v>
      </c>
      <c r="B446" s="4">
        <v>45929.85859953704</v>
      </c>
      <c r="C446" s="5" t="s">
        <v>7</v>
      </c>
      <c r="D446" s="6" t="str">
        <f>HYPERLINK("https://mail.google.com/mail?extsrc=sync&amp;client=docs&amp;plid=ACUX6DNiqqETW3erjmBVUlhBCgJfF6plEnwy23E", "Fwd: FW: 25PDRO01260 Sayegh vs Sayegh September 30, 2025 @ 10:15 am #2/3")</f>
        <v>Fwd: FW: 25PDRO01260 Sayegh vs Sayegh September 30, 2025 @ 10:15 am #2/3</v>
      </c>
      <c r="E446" s="6" t="str">
        <f>HYPERLINK("https://drive.google.com/file/d/13A0zbBEEA9l3IEWyXy5rir7oU5A1rc3d/view", "QRG - How to Join a WebEx for Parents.pdf")</f>
        <v>QRG - How to Join a WebEx for Parents.pdf</v>
      </c>
      <c r="F44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6" s="5"/>
    </row>
    <row r="447" ht="15.75" customHeight="1">
      <c r="A447" s="4">
        <v>45936.57447356482</v>
      </c>
      <c r="B447" s="4">
        <v>45929.85859953704</v>
      </c>
      <c r="C447" s="5" t="s">
        <v>7</v>
      </c>
      <c r="D447" s="6" t="str">
        <f>HYPERLINK("https://mail.google.com/mail?extsrc=sync&amp;client=docs&amp;plid=ACUX6DNiqqETW3erjmBVUlhBCgJfF6plEnwy23E", "Fwd: FW: 25PDRO01260 Sayegh vs Sayegh September 30, 2025 @ 10:15 am #3/3")</f>
        <v>Fwd: FW: 25PDRO01260 Sayegh vs Sayegh September 30, 2025 @ 10:15 am #3/3</v>
      </c>
      <c r="E447" s="6" t="str">
        <f>HYPERLINK("https://drive.google.com/file/d/1Hctyi1U2ialM4QCFiRRLo7PTe9f8wzTM/view", "FC 3044 English Rev. 1.1.2022.pdf")</f>
        <v>FC 3044 English Rev. 1.1.2022.pdf</v>
      </c>
      <c r="F44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7" s="5"/>
    </row>
    <row r="448" ht="15.75" customHeight="1">
      <c r="A448" s="4">
        <v>45936.574385775464</v>
      </c>
      <c r="B448" s="4">
        <v>45931.56155092592</v>
      </c>
      <c r="C448" s="5" t="s">
        <v>7</v>
      </c>
      <c r="D448" s="6" t="str">
        <f>HYPERLINK("https://mail.google.com/mail?extsrc=sync&amp;client=docs&amp;plid=ACUX6DMcyXt4TNeTz47i7HRAZo4sUMk5w17g8DY", "Kids birth certificate #1/2")</f>
        <v>Kids birth certificate #1/2</v>
      </c>
      <c r="E448" s="6" t="str">
        <f>HYPERLINK("https://drive.google.com/file/d/1OFYf0TN1ST1f7m-bEiLSEKlZS_sR6ppn/view", "IMG_0061.jpg")</f>
        <v>IMG_0061.jpg</v>
      </c>
      <c r="F44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8" s="5"/>
    </row>
    <row r="449" ht="15.75" customHeight="1">
      <c r="A449" s="4">
        <v>45936.57438634259</v>
      </c>
      <c r="B449" s="4">
        <v>45931.56155092592</v>
      </c>
      <c r="C449" s="5" t="s">
        <v>7</v>
      </c>
      <c r="D449" s="6" t="str">
        <f>HYPERLINK("https://mail.google.com/mail?extsrc=sync&amp;client=docs&amp;plid=ACUX6DMcyXt4TNeTz47i7HRAZo4sUMk5w17g8DY", "Kids birth certificate #2/2")</f>
        <v>Kids birth certificate #2/2</v>
      </c>
      <c r="E449" s="6" t="str">
        <f>HYPERLINK("https://drive.google.com/file/d/1K0QQid2MaTAkfFJtnAoAH1yi6qWkUHen/view", "IMG_1677.jpg")</f>
        <v>IMG_1677.jpg</v>
      </c>
      <c r="F44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49" s="5"/>
    </row>
    <row r="450" ht="15.75" customHeight="1">
      <c r="A450" s="4">
        <v>45936.57441259259</v>
      </c>
      <c r="B450" s="4">
        <v>45931.56155092592</v>
      </c>
      <c r="C450" s="5" t="s">
        <v>7</v>
      </c>
      <c r="D450" s="6" t="str">
        <f>HYPERLINK("https://mail.google.com/mail?extsrc=sync&amp;client=docs&amp;plid=ACUX6DMcyXt4TNeTz47i7HRAZo4sUMk5w17g8DY", "Kids birth certificate")</f>
        <v>Kids birth certificate</v>
      </c>
      <c r="E450" s="6" t="str">
        <f>HYPERLINK("https://drive.google.com/file/d/1SMNrBRn-yDoYh8He4ALZq9wKi5QSG8c2/view", "Kids birth certificate.pdf")</f>
        <v>Kids birth certificate.pdf</v>
      </c>
      <c r="F45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0" s="5"/>
    </row>
    <row r="451" ht="15.75" customHeight="1">
      <c r="A451" s="4">
        <v>45936.57429738426</v>
      </c>
      <c r="B451" s="4">
        <v>45931.622187500005</v>
      </c>
      <c r="C451" s="5" t="s">
        <v>8</v>
      </c>
      <c r="D451" s="6" t="str">
        <f t="shared" ref="D451:D452" si="75">HYPERLINK("https://mail.google.com/mail?extsrc=sync&amp;client=docs&amp;plid=ACUX6DNWnRqhDnGwzQtlXQn7ylT6FwNdQuvstNM", "I’m so confused, I want to pay but don’t tell me that’s the interest")</f>
        <v>I’m so confused, I want to pay but don’t tell me that’s the interest</v>
      </c>
      <c r="E451" s="6" t="str">
        <f>HYPERLINK("https://drive.google.com/file/d/19gP-7_ebAXwnO9quk0Xj9Y86iIfo3Pre/view", "90001.jpg")</f>
        <v>90001.jpg</v>
      </c>
      <c r="F45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1" s="5"/>
    </row>
    <row r="452" ht="15.75" customHeight="1">
      <c r="A452" s="4">
        <v>45936.5743221875</v>
      </c>
      <c r="B452" s="4">
        <v>45931.622187500005</v>
      </c>
      <c r="C452" s="5" t="s">
        <v>8</v>
      </c>
      <c r="D452" s="6" t="str">
        <f t="shared" si="75"/>
        <v>I’m so confused, I want to pay but don’t tell me that’s the interest</v>
      </c>
      <c r="E452" s="6" t="str">
        <f>HYPERLINK("https://drive.google.com/file/d/1xgITrcNKVc74n8dTlDK5IIsxsLlJTm4k/view", "I’m so confused, I want to pay but don’t tell me that’s the interest.pdf")</f>
        <v>I’m so confused, I want to pay but don’t tell me that’s the interest.pdf</v>
      </c>
      <c r="F45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2" s="5"/>
    </row>
    <row r="453" ht="15.75" customHeight="1">
      <c r="A453" s="4">
        <v>45936.5742721875</v>
      </c>
      <c r="B453" s="4">
        <v>45935.8804050926</v>
      </c>
      <c r="C453" s="5" t="s">
        <v>7</v>
      </c>
      <c r="D453" s="6" t="str">
        <f>HYPERLINK("https://mail.google.com/mail?extsrc=sync&amp;client=docs&amp;plid=ACUX6DMPeD5Ve-0jSSfbzqFSqKXDjeLuSvsvacU", "")</f>
        <v/>
      </c>
      <c r="E453" s="6" t="str">
        <f>HYPERLINK("https://drive.google.com/file/d/1mACVIb1HOgpA05ib9AQzbd-RO2i1oJKl/view", "1759783615963.pdf")</f>
        <v>1759783615963.pdf</v>
      </c>
      <c r="F45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3" s="5"/>
    </row>
    <row r="454" ht="15.75" customHeight="1">
      <c r="A454" s="4">
        <v>45936.574250543985</v>
      </c>
      <c r="B454" s="4">
        <v>45932.662407407406</v>
      </c>
      <c r="C454" s="5" t="s">
        <v>8</v>
      </c>
      <c r="D454" s="6" t="str">
        <f>HYPERLINK("https://mail.google.com/mail?extsrc=sync&amp;client=docs&amp;plid=ACUX6DNH_dmx63cfa-04GD_nepVuwAHJuFdCUZk", "Fwd: Principal At Eliot")</f>
        <v>Fwd: Principal At Eliot</v>
      </c>
      <c r="E454" s="6" t="str">
        <f>HYPERLINK("https://drive.google.com/file/d/1oBT6EuZ5giiP_4Zr593gVtqtN7EXG-J7/view", "Fwd Principal At Eliot.pdf")</f>
        <v>Fwd Principal At Eliot.pdf</v>
      </c>
      <c r="F45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4" s="5"/>
    </row>
    <row r="455" ht="15.75" customHeight="1">
      <c r="A455" s="4">
        <v>45936.57422751158</v>
      </c>
      <c r="B455" s="4">
        <v>45935.92247685185</v>
      </c>
      <c r="C455" s="5" t="s">
        <v>7</v>
      </c>
      <c r="D455" s="6" t="str">
        <f>HYPERLINK("https://mail.google.com/mail?extsrc=sync&amp;client=docs&amp;plid=ACUX6DPhm84oR85rg7BZD5vgGO_ZCWvrrNv4Lvk", "")</f>
        <v/>
      </c>
      <c r="E455" s="6" t="str">
        <f>HYPERLINK("https://drive.google.com/file/d/1LwXEI-wDzpEdWvpMTPEI-spTnFdq_was/view", "1759783611969.pdf")</f>
        <v>1759783611969.pdf</v>
      </c>
      <c r="F45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5" s="5"/>
    </row>
    <row r="456" ht="15.75" customHeight="1">
      <c r="A456" s="4">
        <v>45936.57417931713</v>
      </c>
      <c r="B456" s="4">
        <v>45932.97755787037</v>
      </c>
      <c r="C456" s="5" t="s">
        <v>8</v>
      </c>
      <c r="D456" s="6" t="str">
        <f>HYPERLINK("https://mail.google.com/mail?extsrc=sync&amp;client=docs&amp;plid=ACUX6DNUoLR9Vp1KEtczswHEMxVH7oCiz-W32_o", "Dentist / voicemail-23423145984 #1/2")</f>
        <v>Dentist / voicemail-23423145984 #1/2</v>
      </c>
      <c r="E456" s="6" t="str">
        <f>HYPERLINK("https://drive.google.com/file/d/1fkLXkmwwV5zoUqsGfX9Yv08g3VlFsApF/view", "voicemail-23423145984.m4a")</f>
        <v>voicemail-23423145984.m4a</v>
      </c>
      <c r="F45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6" s="5"/>
    </row>
    <row r="457" ht="15.75" customHeight="1">
      <c r="A457" s="4">
        <v>45936.574180138894</v>
      </c>
      <c r="B457" s="4">
        <v>45932.97755787037</v>
      </c>
      <c r="C457" s="5" t="s">
        <v>8</v>
      </c>
      <c r="D457" s="6" t="str">
        <f>HYPERLINK("https://mail.google.com/mail?extsrc=sync&amp;client=docs&amp;plid=ACUX6DNUoLR9Vp1KEtczswHEMxVH7oCiz-W32_o", "Dentist / voicemail-23423145984 #2/2")</f>
        <v>Dentist / voicemail-23423145984 #2/2</v>
      </c>
      <c r="E457" s="6" t="str">
        <f>HYPERLINK("https://drive.google.com/file/d/1ylXYkYDFi6-lNWCOlf9-F_nnyUsOAhxz/view", "voicemail-23423145984.txt")</f>
        <v>voicemail-23423145984.txt</v>
      </c>
      <c r="F45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7" s="5"/>
    </row>
    <row r="458" ht="15.75" customHeight="1">
      <c r="A458" s="4">
        <v>45936.57420261574</v>
      </c>
      <c r="B458" s="4">
        <v>45932.97755787037</v>
      </c>
      <c r="C458" s="5" t="s">
        <v>8</v>
      </c>
      <c r="D458" s="6" t="str">
        <f>HYPERLINK("https://mail.google.com/mail?extsrc=sync&amp;client=docs&amp;plid=ACUX6DNUoLR9Vp1KEtczswHEMxVH7oCiz-W32_o", "Dentist / voicemail-23423145984")</f>
        <v>Dentist / voicemail-23423145984</v>
      </c>
      <c r="E458" s="6" t="str">
        <f>HYPERLINK("https://drive.google.com/file/d/1CcaHzs_gAiNo2n5hxwTUKBBzFfUZM5lF/view", "Dentist  voicemail-23423145984.pdf")</f>
        <v>Dentist  voicemail-23423145984.pdf</v>
      </c>
      <c r="F45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8" s="5"/>
    </row>
    <row r="459" ht="15.75" customHeight="1">
      <c r="A459" s="4">
        <v>45936.57405038194</v>
      </c>
      <c r="B459" s="4">
        <v>45931.649409722224</v>
      </c>
      <c r="C459" s="5" t="s">
        <v>8</v>
      </c>
      <c r="D459" s="6" t="str">
        <f t="shared" ref="D459:D460" si="76">HYPERLINK("https://mail.google.com/mail?extsrc=sync&amp;client=docs&amp;plid=ACUX6DPX6GOksz7-mEVjTSHKa-65rQzWyfWnJHQ", "I need to learn more about this please/aside from housing")</f>
        <v>I need to learn more about this please/aside from housing</v>
      </c>
      <c r="E459" s="6" t="str">
        <f>HYPERLINK("https://drive.google.com/file/d/1wEHbYNUAbvdAypjQ4dmESWu8LXo_DImC/view", "55848.jpg")</f>
        <v>55848.jpg</v>
      </c>
      <c r="F45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59" s="5"/>
    </row>
    <row r="460" ht="15.75" customHeight="1">
      <c r="A460" s="4">
        <v>45936.57409473379</v>
      </c>
      <c r="B460" s="4">
        <v>45931.649409722224</v>
      </c>
      <c r="C460" s="5" t="s">
        <v>8</v>
      </c>
      <c r="D460" s="6" t="str">
        <f t="shared" si="76"/>
        <v>I need to learn more about this please/aside from housing</v>
      </c>
      <c r="E460" s="6" t="str">
        <f>HYPERLINK("https://drive.google.com/file/d/1T8J2oflgxY6DrwggjphcNE-4hIfhBIGW/view", "I need to learn more about this pleaseaside from housing.pdf")</f>
        <v>I need to learn more about this pleaseaside from housing.pdf</v>
      </c>
      <c r="F46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0" s="5"/>
    </row>
    <row r="461" ht="15.75" customHeight="1">
      <c r="A461" s="4">
        <v>45936.574001643516</v>
      </c>
      <c r="B461" s="4">
        <v>45932.47658564815</v>
      </c>
      <c r="C461" s="5" t="s">
        <v>8</v>
      </c>
      <c r="D461" s="6" t="str">
        <f t="shared" ref="D461:D462" si="77">HYPERLINK("https://mail.google.com/mail?extsrc=sync&amp;client=docs&amp;plid=ACUX6DP66JxfTEtSZ2QxdbHdEcS-m4Vr0kd8FSg", "He just texted me")</f>
        <v>He just texted me</v>
      </c>
      <c r="E461" s="6" t="str">
        <f>HYPERLINK("https://drive.google.com/file/d/1l5dKEOd-8Vb76CdncP87h5uYakd-gsSn/view", "60076.jpg")</f>
        <v>60076.jpg</v>
      </c>
      <c r="F46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1" s="5"/>
    </row>
    <row r="462" ht="15.75" customHeight="1">
      <c r="A462" s="4">
        <v>45936.574026111106</v>
      </c>
      <c r="B462" s="4">
        <v>45932.47658564815</v>
      </c>
      <c r="C462" s="5" t="s">
        <v>8</v>
      </c>
      <c r="D462" s="6" t="str">
        <f t="shared" si="77"/>
        <v>He just texted me</v>
      </c>
      <c r="E462" s="6" t="str">
        <f>HYPERLINK("https://drive.google.com/file/d/1EdU_BFXn8uMHR8WKpEzhUoWZLtLLXGCj/view", "He just texted me.pdf")</f>
        <v>He just texted me.pdf</v>
      </c>
      <c r="F46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2" s="5"/>
    </row>
    <row r="463" ht="15.75" customHeight="1">
      <c r="A463" s="4">
        <v>45936.57393092592</v>
      </c>
      <c r="B463" s="4">
        <v>45926.756643518514</v>
      </c>
      <c r="C463" s="5" t="s">
        <v>7</v>
      </c>
      <c r="D463" s="6" t="str">
        <f>HYPERLINK("https://mail.google.com/mail?extsrc=sync&amp;client=docs&amp;plid=ACUX6DNLipGOyQYPmQixjGEy0RvxIwoOXjAd_9U", "Yes baby!! #1/5")</f>
        <v>Yes baby!! #1/5</v>
      </c>
      <c r="E463" s="6" t="str">
        <f>HYPERLINK("https://drive.google.com/file/d/1W8fO4r22QHmEGnvSvDSveBTu3uwun3av/view", "IMG_0184.jpg")</f>
        <v>IMG_0184.jpg</v>
      </c>
      <c r="F46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3" s="5"/>
    </row>
    <row r="464" ht="15.75" customHeight="1">
      <c r="A464" s="4">
        <v>45936.573931782405</v>
      </c>
      <c r="B464" s="4">
        <v>45926.756643518514</v>
      </c>
      <c r="C464" s="5" t="s">
        <v>7</v>
      </c>
      <c r="D464" s="6" t="str">
        <f>HYPERLINK("https://mail.google.com/mail?extsrc=sync&amp;client=docs&amp;plid=ACUX6DNLipGOyQYPmQixjGEy0RvxIwoOXjAd_9U", "Yes baby!! #2/5")</f>
        <v>Yes baby!! #2/5</v>
      </c>
      <c r="E464" s="6" t="str">
        <f>HYPERLINK("https://drive.google.com/file/d/1iwRYkIMGMDhe5a7ySb7Kti-JKlFnOQmT/view", "IMG_0181.jpg")</f>
        <v>IMG_0181.jpg</v>
      </c>
      <c r="F46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4" s="5"/>
    </row>
    <row r="465" ht="15.75" customHeight="1">
      <c r="A465" s="4">
        <v>45936.57393180556</v>
      </c>
      <c r="B465" s="4">
        <v>45926.756643518514</v>
      </c>
      <c r="C465" s="5" t="s">
        <v>7</v>
      </c>
      <c r="D465" s="6" t="str">
        <f>HYPERLINK("https://mail.google.com/mail?extsrc=sync&amp;client=docs&amp;plid=ACUX6DNLipGOyQYPmQixjGEy0RvxIwoOXjAd_9U", "Yes baby!! #3/5")</f>
        <v>Yes baby!! #3/5</v>
      </c>
      <c r="E465" s="6" t="str">
        <f>HYPERLINK("https://drive.google.com/file/d/1yXxIQrkJ-aG6z2flreezCnVTIcNNJpFz/view", "IMG_0191.jpg")</f>
        <v>IMG_0191.jpg</v>
      </c>
      <c r="F46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5" s="5"/>
    </row>
    <row r="466" ht="15.75" customHeight="1">
      <c r="A466" s="4">
        <v>45936.573931817125</v>
      </c>
      <c r="B466" s="4">
        <v>45926.756643518514</v>
      </c>
      <c r="C466" s="5" t="s">
        <v>7</v>
      </c>
      <c r="D466" s="6" t="str">
        <f>HYPERLINK("https://mail.google.com/mail?extsrc=sync&amp;client=docs&amp;plid=ACUX6DNLipGOyQYPmQixjGEy0RvxIwoOXjAd_9U", "Yes baby!! #4/5")</f>
        <v>Yes baby!! #4/5</v>
      </c>
      <c r="E466" s="6" t="str">
        <f>HYPERLINK("https://drive.google.com/file/d/1zsMEkfgz-Fboes3C0gQXxSnbEtm5DpR_/view", "IMG_0182.jpg")</f>
        <v>IMG_0182.jpg</v>
      </c>
      <c r="F46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6" s="5"/>
    </row>
    <row r="467" ht="15.75" customHeight="1">
      <c r="A467" s="4">
        <v>45936.573931817125</v>
      </c>
      <c r="B467" s="4">
        <v>45926.756643518514</v>
      </c>
      <c r="C467" s="5" t="s">
        <v>7</v>
      </c>
      <c r="D467" s="6" t="str">
        <f>HYPERLINK("https://mail.google.com/mail?extsrc=sync&amp;client=docs&amp;plid=ACUX6DNLipGOyQYPmQixjGEy0RvxIwoOXjAd_9U", "Yes baby!! #5/5")</f>
        <v>Yes baby!! #5/5</v>
      </c>
      <c r="E467" s="6" t="str">
        <f>HYPERLINK("https://drive.google.com/file/d/1xdUdQ_z2uBt28eK5atT83oQ1jzSxT_5M/view", "IMG_0190.jpg")</f>
        <v>IMG_0190.jpg</v>
      </c>
      <c r="F46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7" s="5"/>
    </row>
    <row r="468" ht="15.75" customHeight="1">
      <c r="A468" s="4">
        <v>45936.57397612269</v>
      </c>
      <c r="B468" s="4">
        <v>45926.756643518514</v>
      </c>
      <c r="C468" s="5" t="s">
        <v>7</v>
      </c>
      <c r="D468" s="6" t="str">
        <f>HYPERLINK("https://mail.google.com/mail?extsrc=sync&amp;client=docs&amp;plid=ACUX6DNLipGOyQYPmQixjGEy0RvxIwoOXjAd_9U", "Yes baby!!")</f>
        <v>Yes baby!!</v>
      </c>
      <c r="E468" s="6" t="str">
        <f>HYPERLINK("https://drive.google.com/file/d/1zlx8gIW6lMyeXE-TUXwabGYtTTtb4hQk/view", "Yes baby!!.pdf")</f>
        <v>Yes baby!!.pdf</v>
      </c>
      <c r="F46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8" s="5"/>
    </row>
    <row r="469" ht="15.75" customHeight="1">
      <c r="A469" s="4">
        <v>45936.573705428236</v>
      </c>
      <c r="B469" s="4">
        <v>45926.64114583333</v>
      </c>
      <c r="C469" s="5" t="s">
        <v>7</v>
      </c>
      <c r="D469" s="6" t="str">
        <f>HYPERLINK("https://mail.google.com/mail?extsrc=sync&amp;client=docs&amp;plid=ACUX6DN-GDv8-cujOT2V7VtZxS6c9b2TjYCZYVs", "Elliott middle school documentation record #1/3")</f>
        <v>Elliott middle school documentation record #1/3</v>
      </c>
      <c r="E469" s="6" t="str">
        <f>HYPERLINK("https://drive.google.com/file/d/1-s67qe3CE7VA3jTRjYsSbYAJEjhDMuwu/view", "IMG_0175.jpg")</f>
        <v>IMG_0175.jpg</v>
      </c>
      <c r="F46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69" s="5"/>
    </row>
    <row r="470" ht="15.75" customHeight="1">
      <c r="A470" s="4">
        <v>45936.573706180556</v>
      </c>
      <c r="B470" s="4">
        <v>45926.64114583333</v>
      </c>
      <c r="C470" s="5" t="s">
        <v>7</v>
      </c>
      <c r="D470" s="6" t="str">
        <f>HYPERLINK("https://mail.google.com/mail?extsrc=sync&amp;client=docs&amp;plid=ACUX6DN-GDv8-cujOT2V7VtZxS6c9b2TjYCZYVs", "Elliott middle school documentation record #2/3")</f>
        <v>Elliott middle school documentation record #2/3</v>
      </c>
      <c r="E470" s="6" t="str">
        <f>HYPERLINK("https://drive.google.com/file/d/13HFUF2Q-cAehJ1DjVxMVIckdkgDouEEs/view", "IMG_0174.jpg")</f>
        <v>IMG_0174.jpg</v>
      </c>
      <c r="F47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0" s="5"/>
    </row>
    <row r="471" ht="15.75" customHeight="1">
      <c r="A471" s="4">
        <v>45936.573706192125</v>
      </c>
      <c r="B471" s="4">
        <v>45926.64114583333</v>
      </c>
      <c r="C471" s="5" t="s">
        <v>7</v>
      </c>
      <c r="D471" s="6" t="str">
        <f>HYPERLINK("https://mail.google.com/mail?extsrc=sync&amp;client=docs&amp;plid=ACUX6DN-GDv8-cujOT2V7VtZxS6c9b2TjYCZYVs", "Elliott middle school documentation record #3/3")</f>
        <v>Elliott middle school documentation record #3/3</v>
      </c>
      <c r="E471" s="6" t="str">
        <f>HYPERLINK("https://drive.google.com/file/d/10p5RBk61iMcb1PwHTvj7kWMXKwuoblET/view", "IMG_0173.jpg")</f>
        <v>IMG_0173.jpg</v>
      </c>
      <c r="F47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1" s="5"/>
    </row>
    <row r="472" ht="15.75" customHeight="1">
      <c r="A472" s="4">
        <v>45936.573745092595</v>
      </c>
      <c r="B472" s="4">
        <v>45926.64114583333</v>
      </c>
      <c r="C472" s="5" t="s">
        <v>7</v>
      </c>
      <c r="D472" s="6" t="str">
        <f>HYPERLINK("https://mail.google.com/mail?extsrc=sync&amp;client=docs&amp;plid=ACUX6DN-GDv8-cujOT2V7VtZxS6c9b2TjYCZYVs", "Elliott middle school documentation record")</f>
        <v>Elliott middle school documentation record</v>
      </c>
      <c r="E472" s="6" t="str">
        <f>HYPERLINK("https://drive.google.com/file/d/1JMPrJXMFC2I5D2hUjmcvITraIci03kD7/view", "Elliott middle school documentation record.pdf")</f>
        <v>Elliott middle school documentation record.pdf</v>
      </c>
      <c r="F47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2" s="5"/>
    </row>
    <row r="473" ht="15.75" customHeight="1">
      <c r="A473" s="4">
        <v>45936.57360578704</v>
      </c>
      <c r="B473" s="4">
        <v>45934.51523148148</v>
      </c>
      <c r="C473" s="5" t="s">
        <v>7</v>
      </c>
      <c r="D473" s="6" t="str">
        <f>HYPERLINK("https://mail.google.com/mail?extsrc=sync&amp;client=docs&amp;plid=ACUX6DPUiS0_Bx2y1hhjkqO2bNrUvSnThUcvW8k", "")</f>
        <v/>
      </c>
      <c r="E473" s="6" t="str">
        <f>HYPERLINK("https://drive.google.com/file/d/1aet46dnzXzxJFngUA7d9ANOJy9CzWS4Z/view", "1759783558336.pdf")</f>
        <v>1759783558336.pdf</v>
      </c>
      <c r="F47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3" s="5"/>
    </row>
    <row r="474" ht="15.75" customHeight="1">
      <c r="A474" s="4">
        <v>45936.57356208333</v>
      </c>
      <c r="B474" s="4">
        <v>45931.56055555555</v>
      </c>
      <c r="C474" s="5" t="s">
        <v>7</v>
      </c>
      <c r="D474" s="6" t="str">
        <f t="shared" ref="D474:D475" si="78">HYPERLINK("https://mail.google.com/mail?extsrc=sync&amp;client=docs&amp;plid=ACUX6DPWcIjje5uFFqcNocin2lXu9RpGFSk1q1Y", "Jordan Sayegh social")</f>
        <v>Jordan Sayegh social</v>
      </c>
      <c r="E474" s="6" t="str">
        <f>HYPERLINK("https://drive.google.com/file/d/1vCUpkwaqNXBQ-dsG7S4nj1MBGyUlBaDZ/view", "IMG_0059.jpg")</f>
        <v>IMG_0059.jpg</v>
      </c>
      <c r="F47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4" s="5"/>
    </row>
    <row r="475" ht="15.75" customHeight="1">
      <c r="A475" s="4">
        <v>45936.57358370371</v>
      </c>
      <c r="B475" s="4">
        <v>45931.56055555555</v>
      </c>
      <c r="C475" s="5" t="s">
        <v>7</v>
      </c>
      <c r="D475" s="6" t="str">
        <f t="shared" si="78"/>
        <v>Jordan Sayegh social</v>
      </c>
      <c r="E475" s="6" t="str">
        <f>HYPERLINK("https://drive.google.com/file/d/1rIw8yDENhmEeyBR0KlpNCV0fc-2ZbQJ3/view", "Jordan Sayegh social.pdf")</f>
        <v>Jordan Sayegh social.pdf</v>
      </c>
      <c r="F47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5" s="5"/>
    </row>
    <row r="476" ht="15.75" customHeight="1">
      <c r="A476" s="4">
        <v>45936.57352972223</v>
      </c>
      <c r="B476" s="4">
        <v>45935.41961805556</v>
      </c>
      <c r="C476" s="5" t="s">
        <v>7</v>
      </c>
      <c r="D476" s="6" t="str">
        <f>HYPERLINK("https://mail.google.com/mail?extsrc=sync&amp;client=docs&amp;plid=ACUX6DN8jgzDK6Onl2HSUHtbdh9-McVSv993zKQ", "Handmade Wooden Cat Tree Modern Large Climbing Tree Unique Cat Living Room Cat Shelf Natural Cat Decor Interactive Play Perfect Pet Gift - Etsy")</f>
        <v>Handmade Wooden Cat Tree Modern Large Climbing Tree Unique Cat Living Room Cat Shelf Natural Cat Decor Interactive Play Perfect Pet Gift - Etsy</v>
      </c>
      <c r="E476" s="6" t="str">
        <f>HYPERLINK("https://drive.google.com/file/d/1CQepOmxD6bsD-cSD3hFHXyVnWoFmrJh-/view", "Handmade Wooden Cat Tree Modern Large Climbing Tree Unique Cat Living Room Cat Shelf Natural Cat Decor Interactive Play Perfect Pet Gift - Etsy.pdf")</f>
        <v>Handmade Wooden Cat Tree Modern Large Climbing Tree Unique Cat Living Room Cat Shelf Natural Cat Decor Interactive Play Perfect Pet Gift - Etsy.pdf</v>
      </c>
      <c r="F47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6" s="5"/>
    </row>
    <row r="477" ht="15.75" customHeight="1">
      <c r="A477" s="4">
        <v>45936.57350697917</v>
      </c>
      <c r="B477" s="4">
        <v>45931.5405787037</v>
      </c>
      <c r="C477" s="5" t="s">
        <v>7</v>
      </c>
      <c r="D477" s="6" t="str">
        <f>HYPERLINK("https://mail.google.com/mail?extsrc=sync&amp;client=docs&amp;plid=ACUX6DPvoez2pWFJt3dOR_QFbLAOTWxk8Nu9dDA", "Fwd: URGENT: Identity Theft - Fraudulent Unenrollment Before Court Hearing Tomorrow")</f>
        <v>Fwd: URGENT: Identity Theft - Fraudulent Unenrollment Before Court Hearing Tomorrow</v>
      </c>
      <c r="E477" s="6" t="str">
        <f>HYPERLINK("https://drive.google.com/file/d/12Teeix10-GweDpQv4dOi9E7kw5lpVMY-/view", "Fwd URGENT Identity Theft - Fraudulent Unenrollment Before Court Hearing Tomorrow.pdf")</f>
        <v>Fwd URGENT Identity Theft - Fraudulent Unenrollment Before Court Hearing Tomorrow.pdf</v>
      </c>
      <c r="F47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7" s="5"/>
    </row>
    <row r="478" ht="15.75" customHeight="1">
      <c r="A478" s="4">
        <v>45936.57346020833</v>
      </c>
      <c r="B478" s="4">
        <v>45927.47060185185</v>
      </c>
      <c r="C478" s="5" t="s">
        <v>7</v>
      </c>
      <c r="D478" s="6" t="str">
        <f t="shared" ref="D478:D479" si="79">HYPERLINK("https://mail.google.com/mail?extsrc=sync&amp;client=docs&amp;plid=ACUX6DPA2VDN8L98Wog0g7Cam2rfC0ru88U046s", "Airbnb")</f>
        <v>Airbnb</v>
      </c>
      <c r="E478" s="6" t="str">
        <f>HYPERLINK("https://drive.google.com/file/d/1cFti6NDWe2_DrGYpiem7Pcxv6dxV2lbs/view", "80815.jpg")</f>
        <v>80815.jpg</v>
      </c>
      <c r="F47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8" s="5"/>
    </row>
    <row r="479" ht="15.75" customHeight="1">
      <c r="A479" s="4">
        <v>45936.57348427083</v>
      </c>
      <c r="B479" s="4">
        <v>45927.47060185185</v>
      </c>
      <c r="C479" s="5" t="s">
        <v>7</v>
      </c>
      <c r="D479" s="6" t="str">
        <f t="shared" si="79"/>
        <v>Airbnb</v>
      </c>
      <c r="E479" s="6" t="str">
        <f>HYPERLINK("https://drive.google.com/file/d/1lBOIjFwcynVp-oXv9MtjXZowJCrDWlsK/view", "Airbnb.pdf")</f>
        <v>Airbnb.pdf</v>
      </c>
      <c r="F47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79" s="5"/>
    </row>
    <row r="480" ht="15.75" customHeight="1">
      <c r="A480" s="4">
        <v>45936.57343208333</v>
      </c>
      <c r="B480" s="4">
        <v>45931.63923611111</v>
      </c>
      <c r="C480" s="5" t="s">
        <v>7</v>
      </c>
      <c r="D480" s="6" t="str">
        <f>HYPERLINK("https://mail.google.com/mail?extsrc=sync&amp;client=docs&amp;plid=ACUX6DMxszsJKbfD6DiyVXXUx1p_rFXJXa5pdA8", "Re: Housing top 3")</f>
        <v>Re: Housing top 3</v>
      </c>
      <c r="E480" s="6" t="str">
        <f>HYPERLINK("https://drive.google.com/file/d/1-DCDI6KvG1WGJD6o8w2asvlPyvwBgEXH/view", "Re Housing top 3.pdf")</f>
        <v>Re Housing top 3.pdf</v>
      </c>
      <c r="F48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0" s="5"/>
    </row>
    <row r="481" ht="15.75" customHeight="1">
      <c r="A481" s="4">
        <v>45936.5734100463</v>
      </c>
      <c r="B481" s="4">
        <v>45931.660532407404</v>
      </c>
      <c r="C481" s="5" t="s">
        <v>7</v>
      </c>
      <c r="D481" s="6" t="str">
        <f t="shared" ref="D481:D482" si="80">HYPERLINK("https://mail.google.com/mail?extsrc=sync&amp;client=docs&amp;plid=ACUX6DOhAaa1noC8fGBO5VBTMtNo30kCthFqa-4", "Re: Housing")</f>
        <v>Re: Housing</v>
      </c>
      <c r="E481" s="6" t="str">
        <f>HYPERLINK("https://drive.google.com/file/d/1SI8AlJl-x9bZh65blQErTaYQEvUYPUht/view", "Re Housing.pdf")</f>
        <v>Re Housing.pdf</v>
      </c>
      <c r="F48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1" s="5"/>
    </row>
    <row r="482" ht="15.75" customHeight="1">
      <c r="A482" s="4">
        <v>45936.57336627315</v>
      </c>
      <c r="B482" s="4">
        <v>45931.65789351852</v>
      </c>
      <c r="C482" s="5" t="s">
        <v>7</v>
      </c>
      <c r="D482" s="6" t="str">
        <f t="shared" si="80"/>
        <v>Re: Housing</v>
      </c>
      <c r="E482" s="6" t="str">
        <f>HYPERLINK("https://drive.google.com/file/d/1wkamylIQiqnx1sP015AqG97oArq91YIU/view", "Re Housing.pdf")</f>
        <v>Re Housing.pdf</v>
      </c>
      <c r="F48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2" s="5"/>
    </row>
    <row r="483" ht="15.75" customHeight="1">
      <c r="A483" s="4">
        <v>45936.57331853009</v>
      </c>
      <c r="B483" s="4">
        <v>45931.56283564815</v>
      </c>
      <c r="C483" s="5" t="s">
        <v>7</v>
      </c>
      <c r="D483" s="6" t="str">
        <f>HYPERLINK("https://mail.google.com/mail?extsrc=sync&amp;client=docs&amp;plid=ACUX6DOhAaa1noC8fGBO5VBTMtNo30kCthFqa-4", "Re: Housing #1/5")</f>
        <v>Re: Housing #1/5</v>
      </c>
      <c r="E483" s="6" t="str">
        <f>HYPERLINK("https://drive.google.com/file/d/1SGqhlHwogTc3ikuN6vZ_IvYg8q1LgWqb/view", "IMG_0203.jpeg")</f>
        <v>IMG_0203.jpeg</v>
      </c>
      <c r="F48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3" s="5"/>
    </row>
    <row r="484" ht="15.75" customHeight="1">
      <c r="A484" s="4">
        <v>45936.57331939814</v>
      </c>
      <c r="B484" s="4">
        <v>45931.56283564815</v>
      </c>
      <c r="C484" s="5" t="s">
        <v>7</v>
      </c>
      <c r="D484" s="6" t="str">
        <f>HYPERLINK("https://mail.google.com/mail?extsrc=sync&amp;client=docs&amp;plid=ACUX6DOhAaa1noC8fGBO5VBTMtNo30kCthFqa-4", "Re: Housing #2/5")</f>
        <v>Re: Housing #2/5</v>
      </c>
      <c r="E484" s="6" t="str">
        <f>HYPERLINK("https://drive.google.com/file/d/1zuYBr99tGIIKXVvuybzUgC0qvDwmp8jA/view", "IMG_0202.jpeg")</f>
        <v>IMG_0202.jpeg</v>
      </c>
      <c r="F48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4" s="5"/>
    </row>
    <row r="485" ht="15.75" customHeight="1">
      <c r="A485" s="4">
        <v>45936.57331940973</v>
      </c>
      <c r="B485" s="4">
        <v>45931.56283564815</v>
      </c>
      <c r="C485" s="5" t="s">
        <v>7</v>
      </c>
      <c r="D485" s="6" t="str">
        <f>HYPERLINK("https://mail.google.com/mail?extsrc=sync&amp;client=docs&amp;plid=ACUX6DOhAaa1noC8fGBO5VBTMtNo30kCthFqa-4", "Re: Housing #3/5")</f>
        <v>Re: Housing #3/5</v>
      </c>
      <c r="E485" s="6" t="str">
        <f>HYPERLINK("https://drive.google.com/file/d/1CtJhXQCtZvdCsyooFfsa929T0Zym2phy/view", "IMG_0205.jpeg")</f>
        <v>IMG_0205.jpeg</v>
      </c>
      <c r="F48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5" s="5"/>
    </row>
    <row r="486" ht="15.75" customHeight="1">
      <c r="A486" s="4">
        <v>45936.57331943287</v>
      </c>
      <c r="B486" s="4">
        <v>45931.56283564815</v>
      </c>
      <c r="C486" s="5" t="s">
        <v>7</v>
      </c>
      <c r="D486" s="6" t="str">
        <f>HYPERLINK("https://mail.google.com/mail?extsrc=sync&amp;client=docs&amp;plid=ACUX6DOhAaa1noC8fGBO5VBTMtNo30kCthFqa-4", "Re: Housing #4/5")</f>
        <v>Re: Housing #4/5</v>
      </c>
      <c r="E486" s="6" t="str">
        <f>HYPERLINK("https://drive.google.com/file/d/1Y_Wa_R4Z7cAXM4p3vokdjDY_7P8sanS1/view", "IMG_0206.jpeg")</f>
        <v>IMG_0206.jpeg</v>
      </c>
      <c r="F48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6" s="5"/>
    </row>
    <row r="487" ht="15.75" customHeight="1">
      <c r="A487" s="4">
        <v>45936.57331944445</v>
      </c>
      <c r="B487" s="4">
        <v>45931.56283564815</v>
      </c>
      <c r="C487" s="5" t="s">
        <v>7</v>
      </c>
      <c r="D487" s="6" t="str">
        <f>HYPERLINK("https://mail.google.com/mail?extsrc=sync&amp;client=docs&amp;plid=ACUX6DOhAaa1noC8fGBO5VBTMtNo30kCthFqa-4", "Re: Housing #5/5")</f>
        <v>Re: Housing #5/5</v>
      </c>
      <c r="E487" s="6" t="str">
        <f>HYPERLINK("https://drive.google.com/file/d/1EURlfa5nPUYSCvf9qhpnHAzCMr12eQIs/view", "IMG_0204.jpeg")</f>
        <v>IMG_0204.jpeg</v>
      </c>
      <c r="F48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7" s="5"/>
    </row>
    <row r="488" ht="15.75" customHeight="1">
      <c r="A488" s="4">
        <v>45936.57334052083</v>
      </c>
      <c r="B488" s="4">
        <v>45931.56283564815</v>
      </c>
      <c r="C488" s="5" t="s">
        <v>7</v>
      </c>
      <c r="D488" s="6" t="str">
        <f t="shared" ref="D488:D489" si="81">HYPERLINK("https://mail.google.com/mail?extsrc=sync&amp;client=docs&amp;plid=ACUX6DOhAaa1noC8fGBO5VBTMtNo30kCthFqa-4", "Re: Housing")</f>
        <v>Re: Housing</v>
      </c>
      <c r="E488" s="6" t="str">
        <f>HYPERLINK("https://drive.google.com/file/d/19VfjSK_O1eyJDL1g_3tU1-B6cKr-26lR/view", "Re Housing.pdf")</f>
        <v>Re Housing.pdf</v>
      </c>
      <c r="F48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8" s="5"/>
    </row>
    <row r="489" ht="15.75" customHeight="1">
      <c r="A489" s="4">
        <v>45936.57320209491</v>
      </c>
      <c r="B489" s="4">
        <v>45931.55483796296</v>
      </c>
      <c r="C489" s="5" t="s">
        <v>7</v>
      </c>
      <c r="D489" s="6" t="str">
        <f t="shared" si="81"/>
        <v>Re: Housing</v>
      </c>
      <c r="E489" s="6" t="str">
        <f>HYPERLINK("https://drive.google.com/file/d/1Ig6Cg54ZKwTV4iaGyiww292PQyzZdq8V/view", "Re Housing.pdf")</f>
        <v>Re Housing.pdf</v>
      </c>
      <c r="F48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89" s="5"/>
    </row>
    <row r="490" ht="15.75" customHeight="1">
      <c r="A490" s="4">
        <v>45936.57314813657</v>
      </c>
      <c r="B490" s="4">
        <v>45931.56327546296</v>
      </c>
      <c r="C490" s="5" t="s">
        <v>7</v>
      </c>
      <c r="D490" s="6" t="str">
        <f>HYPERLINK("https://mail.google.com/mail?extsrc=sync&amp;client=docs&amp;plid=ACUX6DOhAaa1noC8fGBO5VBTMtNo30kCthFqa-4", "Re: Housing #1/2")</f>
        <v>Re: Housing #1/2</v>
      </c>
      <c r="E490" s="6" t="str">
        <f>HYPERLINK("https://drive.google.com/file/d/1ow_Vi-crnhuS3TVHvwJJ_afeQ-u0YsKW/view", "IMG_0207.png")</f>
        <v>IMG_0207.png</v>
      </c>
      <c r="F49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0" s="5"/>
    </row>
    <row r="491" ht="15.75" customHeight="1">
      <c r="A491" s="4">
        <v>45936.573148958334</v>
      </c>
      <c r="B491" s="4">
        <v>45931.56327546296</v>
      </c>
      <c r="C491" s="5" t="s">
        <v>7</v>
      </c>
      <c r="D491" s="6" t="str">
        <f>HYPERLINK("https://mail.google.com/mail?extsrc=sync&amp;client=docs&amp;plid=ACUX6DOhAaa1noC8fGBO5VBTMtNo30kCthFqa-4", "Re: Housing #2/2")</f>
        <v>Re: Housing #2/2</v>
      </c>
      <c r="E491" s="6" t="str">
        <f>HYPERLINK("https://drive.google.com/file/d/1_5RoAWDEDiq92Wvmp3ZVAl6zktx9pFsb/view", "IMG_0208.png")</f>
        <v>IMG_0208.png</v>
      </c>
      <c r="F49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1" s="5"/>
    </row>
    <row r="492" ht="15.75" customHeight="1">
      <c r="A492" s="4">
        <v>45936.57317787037</v>
      </c>
      <c r="B492" s="4">
        <v>45931.56327546296</v>
      </c>
      <c r="C492" s="5" t="s">
        <v>7</v>
      </c>
      <c r="D492" s="6" t="str">
        <f t="shared" ref="D492:D499" si="82">HYPERLINK("https://mail.google.com/mail?extsrc=sync&amp;client=docs&amp;plid=ACUX6DOhAaa1noC8fGBO5VBTMtNo30kCthFqa-4", "Re: Housing")</f>
        <v>Re: Housing</v>
      </c>
      <c r="E492" s="6" t="str">
        <f>HYPERLINK("https://drive.google.com/file/d/1d3mrU0P3LijAW-jSLbNf1yW6LwoEMFT0/view", "Re Housing.pdf")</f>
        <v>Re Housing.pdf</v>
      </c>
      <c r="F492"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2" s="5"/>
    </row>
    <row r="493" ht="15.75" customHeight="1">
      <c r="A493" s="4">
        <v>45936.57309694444</v>
      </c>
      <c r="B493" s="4">
        <v>45931.617384259254</v>
      </c>
      <c r="C493" s="5" t="s">
        <v>7</v>
      </c>
      <c r="D493" s="6" t="str">
        <f t="shared" si="82"/>
        <v>Re: Housing</v>
      </c>
      <c r="E493" s="6" t="str">
        <f>HYPERLINK("https://drive.google.com/file/d/1LSNF2r1qrhXeA7fDkLv97t7EBC-AcTid/view", "Re Housing.pdf")</f>
        <v>Re Housing.pdf</v>
      </c>
      <c r="F493"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3" s="5"/>
    </row>
    <row r="494" ht="15.75" customHeight="1">
      <c r="A494" s="4">
        <v>45936.57307596065</v>
      </c>
      <c r="B494" s="4">
        <v>45931.57434027777</v>
      </c>
      <c r="C494" s="5" t="s">
        <v>7</v>
      </c>
      <c r="D494" s="6" t="str">
        <f t="shared" si="82"/>
        <v>Re: Housing</v>
      </c>
      <c r="E494" s="6" t="str">
        <f>HYPERLINK("https://drive.google.com/file/d/16IbW89olWu9EwKgOIZzOD2okHYJHGB3-/view", "Re Housing.pdf")</f>
        <v>Re Housing.pdf</v>
      </c>
      <c r="F494"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4" s="5"/>
    </row>
    <row r="495" ht="15.75" customHeight="1">
      <c r="A495" s="4">
        <v>45936.57305189814</v>
      </c>
      <c r="B495" s="4">
        <v>45931.55835648148</v>
      </c>
      <c r="C495" s="5" t="s">
        <v>7</v>
      </c>
      <c r="D495" s="6" t="str">
        <f t="shared" si="82"/>
        <v>Re: Housing</v>
      </c>
      <c r="E495" s="6" t="str">
        <f>HYPERLINK("https://drive.google.com/file/d/1RPbo7NgYjqYmnn_mMu-CfEh9cmgUMnge/view", "Re Housing.pdf")</f>
        <v>Re Housing.pdf</v>
      </c>
      <c r="F495"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5" s="5"/>
    </row>
    <row r="496" ht="15.75" customHeight="1">
      <c r="A496" s="4">
        <v>45936.573030451385</v>
      </c>
      <c r="B496" s="4">
        <v>45931.553877314815</v>
      </c>
      <c r="C496" s="5" t="s">
        <v>7</v>
      </c>
      <c r="D496" s="6" t="str">
        <f t="shared" si="82"/>
        <v>Re: Housing</v>
      </c>
      <c r="E496" s="6" t="str">
        <f>HYPERLINK("https://drive.google.com/file/d/12gfEIz_qKUEbAzLmkugSy9RUKKa8s9Uw/view", "Re Housing.pdf")</f>
        <v>Re Housing.pdf</v>
      </c>
      <c r="F496"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6" s="5"/>
    </row>
    <row r="497" ht="15.75" customHeight="1">
      <c r="A497" s="4">
        <v>45936.57298667824</v>
      </c>
      <c r="B497" s="4">
        <v>45931.55222222222</v>
      </c>
      <c r="C497" s="5" t="s">
        <v>7</v>
      </c>
      <c r="D497" s="6" t="str">
        <f t="shared" si="82"/>
        <v>Re: Housing</v>
      </c>
      <c r="E497" s="6" t="str">
        <f>HYPERLINK("https://drive.google.com/file/d/1x5OYAcKNYK4BIIektDYKC965bs3LJZNK/view", "Re Housing.pdf")</f>
        <v>Re Housing.pdf</v>
      </c>
      <c r="F497"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7" s="5"/>
    </row>
    <row r="498" ht="15.75" customHeight="1">
      <c r="A498" s="4">
        <v>45936.57295938657</v>
      </c>
      <c r="B498" s="4">
        <v>45931.545706018514</v>
      </c>
      <c r="C498" s="5" t="s">
        <v>7</v>
      </c>
      <c r="D498" s="6" t="str">
        <f t="shared" si="82"/>
        <v>Re: Housing</v>
      </c>
      <c r="E498" s="6" t="str">
        <f>HYPERLINK("https://drive.google.com/file/d/1hgVnbVnls5VkKlt497qPSH6H2zY88C2n/view", "Re Housing.pdf")</f>
        <v>Re Housing.pdf</v>
      </c>
      <c r="F498"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8" s="5"/>
    </row>
    <row r="499" ht="15.75" customHeight="1">
      <c r="A499" s="4">
        <v>45936.57293699074</v>
      </c>
      <c r="B499" s="4">
        <v>45931.55688657408</v>
      </c>
      <c r="C499" s="5" t="s">
        <v>7</v>
      </c>
      <c r="D499" s="6" t="str">
        <f t="shared" si="82"/>
        <v>Re: Housing</v>
      </c>
      <c r="E499" s="6" t="str">
        <f>HYPERLINK("https://drive.google.com/file/d/1kJZyjojNKqZ8UkorSBOfLxqZt8hARA3x/view", "Re Housing.pdf")</f>
        <v>Re Housing.pdf</v>
      </c>
      <c r="F499"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499" s="5"/>
    </row>
    <row r="500" ht="15.75" customHeight="1">
      <c r="A500" s="4">
        <v>45936.57285334491</v>
      </c>
      <c r="B500" s="4">
        <v>45931.56092592592</v>
      </c>
      <c r="C500" s="5" t="s">
        <v>7</v>
      </c>
      <c r="D500" s="6" t="str">
        <f t="shared" ref="D500:D501" si="83">HYPERLINK("https://mail.google.com/mail?extsrc=sync&amp;client=docs&amp;plid=ACUX6DNsr9fOpPKwKqxame_J9nmNii_RafoRJvc", "Mia social 1-13-2012")</f>
        <v>Mia social 1-13-2012</v>
      </c>
      <c r="E500" s="6" t="str">
        <f>HYPERLINK("https://drive.google.com/file/d/1SnDGgWwaOujYeza27276heKq37jHVVEz/view", "IMG_0060.jpg")</f>
        <v>IMG_0060.jpg</v>
      </c>
      <c r="F500"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00" s="5"/>
    </row>
    <row r="501" ht="15.75" customHeight="1">
      <c r="A501" s="4">
        <v>45936.57290804398</v>
      </c>
      <c r="B501" s="4">
        <v>45931.56092592592</v>
      </c>
      <c r="C501" s="5" t="s">
        <v>7</v>
      </c>
      <c r="D501" s="6" t="str">
        <f t="shared" si="83"/>
        <v>Mia social 1-13-2012</v>
      </c>
      <c r="E501" s="6" t="str">
        <f>HYPERLINK("https://drive.google.com/file/d/1w78sB3oX6GymedwSSjaxGtCtSqPUTw5h/view", "Mia social 1-13-2012.pdf")</f>
        <v>Mia social 1-13-2012.pdf</v>
      </c>
      <c r="F501" s="6" t="str">
        <f t="shared" si="1"/>
        <v>My Drive &gt; SVS &gt; emails &gt; Users &gt; ericjones &gt; Library &gt; CloudStorage &gt; GoogleDrive-eric@recovery-compass.org &gt; My &gt; Drive &gt; SVS &gt; emails &gt; ' &gt; Users &gt; ericjones &gt; Library &gt; CloudStorage &gt; GoogleDrive-eric@recovery-compass.org &gt; My Drive &gt; SVS &gt; emails &gt; nuha-sayegh'</v>
      </c>
      <c r="G501" s="5"/>
    </row>
    <row r="502" ht="15.75" customHeight="1">
      <c r="A502" s="4"/>
      <c r="B502" s="4"/>
      <c r="C502" s="5"/>
      <c r="D502" s="5"/>
      <c r="E502" s="5"/>
      <c r="F502" s="5"/>
      <c r="G502" s="5"/>
    </row>
    <row r="503" ht="15.75" customHeight="1">
      <c r="A503" s="4"/>
      <c r="B503" s="4"/>
      <c r="C503" s="5"/>
      <c r="D503" s="5"/>
      <c r="E503" s="5"/>
      <c r="F503" s="5"/>
      <c r="G503" s="5"/>
    </row>
    <row r="504" ht="15.75" customHeight="1">
      <c r="A504" s="4"/>
      <c r="B504" s="4"/>
      <c r="C504" s="5"/>
      <c r="D504" s="5"/>
      <c r="E504" s="5"/>
      <c r="F504" s="5"/>
      <c r="G504" s="5"/>
    </row>
    <row r="505" ht="15.75" customHeight="1">
      <c r="A505" s="4"/>
      <c r="B505" s="4"/>
      <c r="C505" s="5"/>
      <c r="D505" s="5"/>
      <c r="E505" s="5"/>
      <c r="F505" s="5"/>
      <c r="G505" s="5"/>
    </row>
    <row r="506" ht="15.75" customHeight="1">
      <c r="A506" s="4"/>
      <c r="B506" s="4"/>
      <c r="C506" s="5"/>
      <c r="D506" s="5"/>
      <c r="E506" s="5"/>
      <c r="F506" s="5"/>
      <c r="G506" s="5"/>
    </row>
    <row r="507" ht="15.75" customHeight="1">
      <c r="A507" s="4"/>
      <c r="B507" s="4"/>
      <c r="C507" s="5"/>
      <c r="D507" s="5"/>
      <c r="E507" s="5"/>
      <c r="F507" s="5"/>
      <c r="G507" s="5"/>
    </row>
    <row r="508" ht="15.75" customHeight="1">
      <c r="A508" s="4"/>
      <c r="B508" s="4"/>
      <c r="C508" s="5"/>
      <c r="D508" s="5"/>
      <c r="E508" s="5"/>
      <c r="F508" s="5"/>
      <c r="G508" s="5"/>
    </row>
    <row r="509" ht="15.75" customHeight="1">
      <c r="A509" s="4"/>
      <c r="B509" s="4"/>
      <c r="C509" s="5"/>
      <c r="D509" s="5"/>
      <c r="E509" s="5"/>
      <c r="F509" s="5"/>
      <c r="G509" s="5"/>
    </row>
    <row r="510" ht="15.75" customHeight="1">
      <c r="A510" s="4"/>
      <c r="B510" s="4"/>
      <c r="C510" s="5"/>
      <c r="D510" s="5"/>
      <c r="E510" s="5"/>
      <c r="F510" s="5"/>
      <c r="G510" s="5"/>
    </row>
    <row r="511" ht="15.75" customHeight="1">
      <c r="A511" s="4"/>
      <c r="B511" s="4"/>
      <c r="C511" s="5"/>
      <c r="D511" s="5"/>
      <c r="E511" s="5"/>
      <c r="F511" s="5"/>
      <c r="G511" s="5"/>
    </row>
    <row r="512" ht="15.75" customHeight="1">
      <c r="A512" s="4"/>
      <c r="B512" s="4"/>
      <c r="C512" s="5"/>
      <c r="D512" s="5"/>
      <c r="E512" s="5"/>
      <c r="F512" s="5"/>
      <c r="G512" s="5"/>
    </row>
    <row r="513" ht="15.75" customHeight="1">
      <c r="A513" s="4"/>
      <c r="B513" s="4"/>
      <c r="C513" s="5"/>
      <c r="D513" s="5"/>
      <c r="E513" s="5"/>
      <c r="F513" s="5"/>
      <c r="G513" s="5"/>
    </row>
    <row r="514" ht="15.75" customHeight="1">
      <c r="A514" s="4"/>
      <c r="B514" s="4"/>
      <c r="C514" s="5"/>
      <c r="D514" s="5"/>
      <c r="E514" s="5"/>
      <c r="F514" s="5"/>
      <c r="G514" s="5"/>
    </row>
    <row r="515" ht="15.75" customHeight="1">
      <c r="A515" s="4"/>
      <c r="B515" s="4"/>
      <c r="C515" s="5"/>
      <c r="D515" s="5"/>
      <c r="E515" s="5"/>
      <c r="F515" s="5"/>
      <c r="G515" s="5"/>
    </row>
    <row r="516" ht="15.75" customHeight="1">
      <c r="A516" s="4"/>
      <c r="B516" s="4"/>
      <c r="C516" s="5"/>
      <c r="D516" s="5"/>
      <c r="E516" s="5"/>
      <c r="F516" s="5"/>
      <c r="G516" s="5"/>
    </row>
    <row r="517" ht="15.75" customHeight="1">
      <c r="A517" s="4"/>
      <c r="B517" s="4"/>
      <c r="C517" s="5"/>
      <c r="D517" s="5"/>
      <c r="E517" s="5"/>
      <c r="F517" s="5"/>
      <c r="G517" s="5"/>
    </row>
    <row r="518" ht="15.75" customHeight="1">
      <c r="A518" s="4"/>
      <c r="B518" s="4"/>
      <c r="C518" s="5"/>
      <c r="D518" s="5"/>
      <c r="E518" s="5"/>
      <c r="F518" s="5"/>
      <c r="G518" s="5"/>
    </row>
    <row r="519" ht="15.75" customHeight="1">
      <c r="A519" s="4"/>
      <c r="B519" s="4"/>
      <c r="C519" s="5"/>
      <c r="D519" s="5"/>
      <c r="E519" s="5"/>
      <c r="F519" s="5"/>
      <c r="G519" s="5"/>
    </row>
    <row r="520" ht="15.75" customHeight="1">
      <c r="A520" s="4"/>
      <c r="B520" s="4"/>
      <c r="C520" s="5"/>
      <c r="D520" s="5"/>
      <c r="E520" s="5"/>
      <c r="F520" s="5"/>
      <c r="G520" s="5"/>
    </row>
    <row r="521" ht="15.75" customHeight="1">
      <c r="A521" s="4"/>
      <c r="B521" s="4"/>
      <c r="C521" s="5"/>
      <c r="D521" s="5"/>
      <c r="E521" s="5"/>
      <c r="F521" s="5"/>
      <c r="G521" s="5"/>
    </row>
    <row r="522" ht="15.75" customHeight="1">
      <c r="A522" s="4"/>
      <c r="B522" s="4"/>
      <c r="C522" s="5"/>
      <c r="D522" s="5"/>
      <c r="E522" s="5"/>
      <c r="F522" s="5"/>
      <c r="G522" s="5"/>
    </row>
    <row r="523" ht="15.75" customHeight="1">
      <c r="A523" s="4"/>
      <c r="B523" s="4"/>
      <c r="C523" s="5"/>
      <c r="D523" s="5"/>
      <c r="E523" s="5"/>
      <c r="F523" s="5"/>
      <c r="G523" s="5"/>
    </row>
    <row r="524" ht="15.75" customHeight="1">
      <c r="A524" s="4"/>
      <c r="B524" s="4"/>
      <c r="C524" s="5"/>
      <c r="D524" s="5"/>
      <c r="E524" s="5"/>
      <c r="F524" s="5"/>
      <c r="G524" s="5"/>
    </row>
    <row r="525" ht="15.75" customHeight="1">
      <c r="A525" s="4"/>
      <c r="B525" s="4"/>
      <c r="C525" s="5"/>
      <c r="D525" s="5"/>
      <c r="E525" s="5"/>
      <c r="F525" s="5"/>
      <c r="G525" s="5"/>
    </row>
    <row r="526" ht="15.75" customHeight="1">
      <c r="A526" s="4"/>
      <c r="B526" s="4"/>
      <c r="C526" s="5"/>
      <c r="D526" s="5"/>
      <c r="E526" s="5"/>
      <c r="F526" s="5"/>
      <c r="G526" s="5"/>
    </row>
    <row r="527" ht="15.75" customHeight="1">
      <c r="A527" s="4"/>
      <c r="B527" s="4"/>
      <c r="C527" s="5"/>
      <c r="D527" s="5"/>
      <c r="E527" s="5"/>
      <c r="F527" s="5"/>
      <c r="G527" s="5"/>
    </row>
    <row r="528" ht="15.75" customHeight="1">
      <c r="A528" s="4"/>
      <c r="B528" s="4"/>
      <c r="C528" s="5"/>
      <c r="D528" s="5"/>
      <c r="E528" s="5"/>
      <c r="F528" s="5"/>
      <c r="G528" s="5"/>
    </row>
    <row r="529" ht="15.75" customHeight="1">
      <c r="A529" s="4"/>
      <c r="B529" s="4"/>
      <c r="C529" s="5"/>
      <c r="D529" s="5"/>
      <c r="E529" s="5"/>
      <c r="F529" s="5"/>
      <c r="G529" s="5"/>
    </row>
    <row r="530" ht="15.75" customHeight="1">
      <c r="A530" s="4"/>
      <c r="B530" s="4"/>
      <c r="C530" s="5"/>
      <c r="D530" s="5"/>
      <c r="E530" s="5"/>
      <c r="F530" s="5"/>
      <c r="G530" s="5"/>
    </row>
    <row r="531" ht="15.75" customHeight="1">
      <c r="A531" s="4"/>
      <c r="B531" s="4"/>
      <c r="C531" s="5"/>
      <c r="D531" s="5"/>
      <c r="E531" s="5"/>
      <c r="F531" s="5"/>
      <c r="G531" s="5"/>
    </row>
    <row r="532" ht="15.75" customHeight="1">
      <c r="A532" s="4"/>
      <c r="B532" s="4"/>
      <c r="C532" s="5"/>
      <c r="D532" s="5"/>
      <c r="E532" s="5"/>
      <c r="F532" s="5"/>
      <c r="G532" s="5"/>
    </row>
    <row r="533" ht="15.75" customHeight="1">
      <c r="A533" s="4"/>
      <c r="B533" s="4"/>
      <c r="C533" s="5"/>
      <c r="D533" s="5"/>
      <c r="E533" s="5"/>
      <c r="F533" s="5"/>
      <c r="G533" s="5"/>
    </row>
    <row r="534" ht="15.75" customHeight="1">
      <c r="A534" s="4"/>
      <c r="B534" s="4"/>
      <c r="C534" s="5"/>
      <c r="D534" s="5"/>
      <c r="E534" s="5"/>
      <c r="F534" s="5"/>
      <c r="G534" s="5"/>
    </row>
    <row r="535" ht="15.75" customHeight="1">
      <c r="A535" s="4"/>
      <c r="B535" s="4"/>
      <c r="C535" s="5"/>
      <c r="D535" s="5"/>
      <c r="E535" s="5"/>
      <c r="F535" s="5"/>
      <c r="G535" s="5"/>
    </row>
    <row r="536" ht="15.75" customHeight="1">
      <c r="A536" s="4"/>
      <c r="B536" s="4"/>
      <c r="C536" s="5"/>
      <c r="D536" s="5"/>
      <c r="E536" s="5"/>
      <c r="F536" s="5"/>
      <c r="G536" s="5"/>
    </row>
    <row r="537" ht="15.75" customHeight="1">
      <c r="A537" s="4"/>
      <c r="B537" s="4"/>
      <c r="C537" s="5"/>
      <c r="D537" s="5"/>
      <c r="E537" s="5"/>
      <c r="F537" s="5"/>
      <c r="G537" s="5"/>
    </row>
    <row r="538" ht="15.75" customHeight="1">
      <c r="A538" s="4"/>
      <c r="B538" s="4"/>
      <c r="C538" s="5"/>
      <c r="D538" s="5"/>
      <c r="E538" s="5"/>
      <c r="F538" s="5"/>
      <c r="G538" s="5"/>
    </row>
    <row r="539" ht="15.75" customHeight="1">
      <c r="A539" s="4"/>
      <c r="B539" s="4"/>
      <c r="C539" s="5"/>
      <c r="D539" s="5"/>
      <c r="E539" s="5"/>
      <c r="F539" s="5"/>
      <c r="G539" s="5"/>
    </row>
    <row r="540" ht="15.75" customHeight="1">
      <c r="A540" s="4"/>
      <c r="B540" s="4"/>
      <c r="C540" s="5"/>
      <c r="D540" s="5"/>
      <c r="E540" s="5"/>
      <c r="F540" s="5"/>
      <c r="G540" s="5"/>
    </row>
    <row r="541" ht="15.75" customHeight="1">
      <c r="A541" s="4"/>
      <c r="B541" s="4"/>
      <c r="C541" s="5"/>
      <c r="D541" s="5"/>
      <c r="E541" s="5"/>
      <c r="F541" s="5"/>
      <c r="G541" s="5"/>
    </row>
    <row r="542" ht="15.75" customHeight="1">
      <c r="A542" s="4"/>
      <c r="B542" s="4"/>
      <c r="C542" s="5"/>
      <c r="D542" s="5"/>
      <c r="E542" s="5"/>
      <c r="F542" s="5"/>
      <c r="G542" s="5"/>
    </row>
    <row r="543" ht="15.75" customHeight="1">
      <c r="A543" s="4"/>
      <c r="B543" s="4"/>
      <c r="C543" s="5"/>
      <c r="D543" s="5"/>
      <c r="E543" s="5"/>
      <c r="F543" s="5"/>
      <c r="G543" s="5"/>
    </row>
    <row r="544" ht="15.75" customHeight="1">
      <c r="A544" s="4"/>
      <c r="B544" s="4"/>
      <c r="C544" s="5"/>
      <c r="D544" s="5"/>
      <c r="E544" s="5"/>
      <c r="F544" s="5"/>
      <c r="G544" s="5"/>
    </row>
    <row r="545" ht="15.75" customHeight="1">
      <c r="A545" s="4"/>
      <c r="B545" s="4"/>
      <c r="C545" s="5"/>
      <c r="D545" s="5"/>
      <c r="E545" s="5"/>
      <c r="F545" s="5"/>
      <c r="G545" s="5"/>
    </row>
    <row r="546" ht="15.75" customHeight="1">
      <c r="A546" s="4"/>
      <c r="B546" s="4"/>
      <c r="C546" s="5"/>
      <c r="D546" s="5"/>
      <c r="E546" s="5"/>
      <c r="F546" s="5"/>
      <c r="G546" s="5"/>
    </row>
    <row r="547" ht="15.75" customHeight="1">
      <c r="A547" s="4"/>
      <c r="B547" s="4"/>
      <c r="C547" s="5"/>
      <c r="D547" s="5"/>
      <c r="E547" s="5"/>
      <c r="F547" s="5"/>
      <c r="G547" s="5"/>
    </row>
    <row r="548" ht="15.75" customHeight="1">
      <c r="A548" s="4"/>
      <c r="B548" s="4"/>
      <c r="C548" s="5"/>
      <c r="D548" s="5"/>
      <c r="E548" s="5"/>
      <c r="F548" s="5"/>
      <c r="G548" s="5"/>
    </row>
    <row r="549" ht="15.75" customHeight="1">
      <c r="A549" s="4"/>
      <c r="B549" s="4"/>
      <c r="C549" s="5"/>
      <c r="D549" s="5"/>
      <c r="E549" s="5"/>
      <c r="F549" s="5"/>
      <c r="G549" s="5"/>
    </row>
    <row r="550" ht="15.75" customHeight="1">
      <c r="A550" s="4"/>
      <c r="B550" s="4"/>
      <c r="C550" s="5"/>
      <c r="D550" s="5"/>
      <c r="E550" s="5"/>
      <c r="F550" s="5"/>
      <c r="G550" s="5"/>
    </row>
    <row r="551" ht="15.75" customHeight="1">
      <c r="A551" s="4"/>
      <c r="B551" s="4"/>
      <c r="C551" s="5"/>
      <c r="D551" s="5"/>
      <c r="E551" s="5"/>
      <c r="F551" s="5"/>
      <c r="G551" s="5"/>
    </row>
    <row r="552" ht="15.75" customHeight="1">
      <c r="A552" s="4"/>
      <c r="B552" s="4"/>
      <c r="C552" s="5"/>
      <c r="D552" s="5"/>
      <c r="E552" s="5"/>
      <c r="F552" s="5"/>
      <c r="G552" s="5"/>
    </row>
    <row r="553" ht="15.75" customHeight="1">
      <c r="A553" s="4"/>
      <c r="B553" s="4"/>
      <c r="C553" s="5"/>
      <c r="D553" s="5"/>
      <c r="E553" s="5"/>
      <c r="F553" s="5"/>
      <c r="G553" s="5"/>
    </row>
    <row r="554" ht="15.75" customHeight="1">
      <c r="A554" s="4"/>
      <c r="B554" s="4"/>
      <c r="C554" s="5"/>
      <c r="D554" s="5"/>
      <c r="E554" s="5"/>
      <c r="F554" s="5"/>
      <c r="G554" s="5"/>
    </row>
    <row r="555" ht="15.75" customHeight="1">
      <c r="A555" s="4"/>
      <c r="B555" s="4"/>
      <c r="C555" s="5"/>
      <c r="D555" s="5"/>
      <c r="E555" s="5"/>
      <c r="F555" s="5"/>
      <c r="G555" s="5"/>
    </row>
    <row r="556" ht="15.75" customHeight="1">
      <c r="A556" s="4"/>
      <c r="B556" s="4"/>
      <c r="C556" s="5"/>
      <c r="D556" s="5"/>
      <c r="E556" s="5"/>
      <c r="F556" s="5"/>
      <c r="G556" s="5"/>
    </row>
    <row r="557" ht="15.75" customHeight="1">
      <c r="A557" s="4"/>
      <c r="B557" s="4"/>
      <c r="C557" s="5"/>
      <c r="D557" s="5"/>
      <c r="E557" s="5"/>
      <c r="F557" s="5"/>
      <c r="G557" s="5"/>
    </row>
    <row r="558" ht="15.75" customHeight="1">
      <c r="A558" s="4"/>
      <c r="B558" s="4"/>
      <c r="C558" s="5"/>
      <c r="D558" s="5"/>
      <c r="E558" s="5"/>
      <c r="F558" s="5"/>
      <c r="G558" s="5"/>
    </row>
    <row r="559" ht="15.75" customHeight="1">
      <c r="A559" s="4"/>
      <c r="B559" s="4"/>
      <c r="C559" s="5"/>
      <c r="D559" s="5"/>
      <c r="E559" s="5"/>
      <c r="F559" s="5"/>
      <c r="G559" s="5"/>
    </row>
    <row r="560" ht="15.75" customHeight="1">
      <c r="A560" s="4"/>
      <c r="B560" s="4"/>
      <c r="C560" s="5"/>
      <c r="D560" s="5"/>
      <c r="E560" s="5"/>
      <c r="F560" s="5"/>
      <c r="G560" s="5"/>
    </row>
    <row r="561" ht="15.75" customHeight="1">
      <c r="A561" s="4"/>
      <c r="B561" s="4"/>
      <c r="C561" s="5"/>
      <c r="D561" s="5"/>
      <c r="E561" s="5"/>
      <c r="F561" s="5"/>
      <c r="G561" s="5"/>
    </row>
    <row r="562" ht="15.75" customHeight="1">
      <c r="A562" s="4"/>
      <c r="B562" s="4"/>
      <c r="C562" s="5"/>
      <c r="D562" s="5"/>
      <c r="E562" s="5"/>
      <c r="F562" s="5"/>
      <c r="G562" s="5"/>
    </row>
    <row r="563" ht="15.75" customHeight="1">
      <c r="A563" s="4"/>
      <c r="B563" s="4"/>
      <c r="C563" s="5"/>
      <c r="D563" s="5"/>
      <c r="E563" s="5"/>
      <c r="F563" s="5"/>
      <c r="G563" s="5"/>
    </row>
    <row r="564" ht="15.75" customHeight="1">
      <c r="A564" s="4"/>
      <c r="B564" s="4"/>
      <c r="C564" s="5"/>
      <c r="D564" s="5"/>
      <c r="E564" s="5"/>
      <c r="F564" s="5"/>
      <c r="G564" s="5"/>
    </row>
    <row r="565" ht="15.75" customHeight="1">
      <c r="A565" s="4"/>
      <c r="B565" s="4"/>
      <c r="C565" s="5"/>
      <c r="D565" s="5"/>
      <c r="E565" s="5"/>
      <c r="F565" s="5"/>
      <c r="G565" s="5"/>
    </row>
    <row r="566" ht="15.75" customHeight="1">
      <c r="A566" s="4"/>
      <c r="B566" s="4"/>
      <c r="C566" s="5"/>
      <c r="D566" s="5"/>
      <c r="E566" s="5"/>
      <c r="F566" s="5"/>
      <c r="G566" s="5"/>
    </row>
    <row r="567" ht="15.75" customHeight="1">
      <c r="A567" s="4"/>
      <c r="B567" s="4"/>
      <c r="C567" s="5"/>
      <c r="D567" s="5"/>
      <c r="E567" s="5"/>
      <c r="F567" s="5"/>
      <c r="G567" s="5"/>
    </row>
    <row r="568" ht="15.75" customHeight="1">
      <c r="A568" s="4"/>
      <c r="B568" s="4"/>
      <c r="C568" s="5"/>
      <c r="D568" s="5"/>
      <c r="E568" s="5"/>
      <c r="F568" s="5"/>
      <c r="G568" s="5"/>
    </row>
    <row r="569" ht="15.75" customHeight="1">
      <c r="A569" s="4"/>
      <c r="B569" s="4"/>
      <c r="C569" s="5"/>
      <c r="D569" s="5"/>
      <c r="E569" s="5"/>
      <c r="F569" s="5"/>
      <c r="G569" s="5"/>
    </row>
    <row r="570" ht="15.75" customHeight="1">
      <c r="A570" s="4"/>
      <c r="B570" s="4"/>
      <c r="C570" s="5"/>
      <c r="D570" s="5"/>
      <c r="E570" s="5"/>
      <c r="F570" s="5"/>
      <c r="G570" s="5"/>
    </row>
    <row r="571" ht="15.75" customHeight="1">
      <c r="A571" s="4"/>
      <c r="B571" s="4"/>
      <c r="C571" s="5"/>
      <c r="D571" s="5"/>
      <c r="E571" s="5"/>
      <c r="F571" s="5"/>
      <c r="G571" s="5"/>
    </row>
    <row r="572" ht="15.75" customHeight="1">
      <c r="A572" s="4"/>
      <c r="B572" s="4"/>
      <c r="C572" s="5"/>
      <c r="D572" s="5"/>
      <c r="E572" s="5"/>
      <c r="F572" s="5"/>
      <c r="G572" s="5"/>
    </row>
    <row r="573" ht="15.75" customHeight="1">
      <c r="A573" s="4"/>
      <c r="B573" s="4"/>
      <c r="C573" s="5"/>
      <c r="D573" s="5"/>
      <c r="E573" s="5"/>
      <c r="F573" s="5"/>
      <c r="G573" s="5"/>
    </row>
    <row r="574" ht="15.75" customHeight="1">
      <c r="A574" s="4"/>
      <c r="B574" s="4"/>
      <c r="C574" s="5"/>
      <c r="D574" s="5"/>
      <c r="E574" s="5"/>
      <c r="F574" s="5"/>
      <c r="G574" s="5"/>
    </row>
    <row r="575" ht="15.75" customHeight="1">
      <c r="A575" s="4"/>
      <c r="B575" s="4"/>
      <c r="C575" s="5"/>
      <c r="D575" s="5"/>
      <c r="E575" s="5"/>
      <c r="F575" s="5"/>
      <c r="G575" s="5"/>
    </row>
    <row r="576" ht="15.75" customHeight="1">
      <c r="A576" s="4"/>
      <c r="B576" s="4"/>
      <c r="C576" s="5"/>
      <c r="D576" s="5"/>
      <c r="E576" s="5"/>
      <c r="F576" s="5"/>
      <c r="G576" s="5"/>
    </row>
    <row r="577" ht="15.75" customHeight="1">
      <c r="A577" s="4"/>
      <c r="B577" s="4"/>
      <c r="C577" s="5"/>
      <c r="D577" s="5"/>
      <c r="E577" s="5"/>
      <c r="F577" s="5"/>
      <c r="G577" s="5"/>
    </row>
    <row r="578" ht="15.75" customHeight="1">
      <c r="A578" s="4"/>
      <c r="B578" s="4"/>
      <c r="C578" s="5"/>
      <c r="D578" s="5"/>
      <c r="E578" s="5"/>
      <c r="F578" s="5"/>
      <c r="G578" s="5"/>
    </row>
    <row r="579" ht="15.75" customHeight="1">
      <c r="A579" s="4"/>
      <c r="B579" s="4"/>
      <c r="C579" s="5"/>
      <c r="D579" s="5"/>
      <c r="E579" s="5"/>
      <c r="F579" s="5"/>
      <c r="G579" s="5"/>
    </row>
    <row r="580" ht="15.75" customHeight="1">
      <c r="A580" s="4"/>
      <c r="B580" s="4"/>
      <c r="C580" s="5"/>
      <c r="D580" s="5"/>
      <c r="E580" s="5"/>
      <c r="F580" s="5"/>
      <c r="G580" s="5"/>
    </row>
    <row r="581" ht="15.75" customHeight="1">
      <c r="A581" s="4"/>
      <c r="B581" s="4"/>
      <c r="C581" s="5"/>
      <c r="D581" s="5"/>
      <c r="E581" s="5"/>
      <c r="F581" s="5"/>
      <c r="G581" s="5"/>
    </row>
    <row r="582" ht="15.75" customHeight="1">
      <c r="A582" s="4"/>
      <c r="B582" s="4"/>
      <c r="C582" s="5"/>
      <c r="D582" s="5"/>
      <c r="E582" s="5"/>
      <c r="F582" s="5"/>
      <c r="G582" s="5"/>
    </row>
    <row r="583" ht="15.75" customHeight="1">
      <c r="A583" s="4"/>
      <c r="B583" s="4"/>
      <c r="C583" s="5"/>
      <c r="D583" s="5"/>
      <c r="E583" s="5"/>
      <c r="F583" s="5"/>
      <c r="G583" s="5"/>
    </row>
    <row r="584" ht="15.75" customHeight="1">
      <c r="A584" s="4"/>
      <c r="B584" s="4"/>
      <c r="C584" s="5"/>
      <c r="D584" s="5"/>
      <c r="E584" s="5"/>
      <c r="F584" s="5"/>
      <c r="G584" s="5"/>
    </row>
    <row r="585" ht="15.75" customHeight="1">
      <c r="A585" s="4"/>
      <c r="B585" s="4"/>
      <c r="C585" s="5"/>
      <c r="D585" s="5"/>
      <c r="E585" s="5"/>
      <c r="F585" s="5"/>
      <c r="G585" s="5"/>
    </row>
    <row r="586" ht="15.75" customHeight="1">
      <c r="A586" s="4"/>
      <c r="B586" s="4"/>
      <c r="C586" s="5"/>
      <c r="D586" s="5"/>
      <c r="E586" s="5"/>
      <c r="F586" s="5"/>
      <c r="G586" s="5"/>
    </row>
    <row r="587" ht="15.75" customHeight="1">
      <c r="A587" s="4"/>
      <c r="B587" s="4"/>
      <c r="C587" s="5"/>
      <c r="D587" s="5"/>
      <c r="E587" s="5"/>
      <c r="F587" s="5"/>
      <c r="G587" s="5"/>
    </row>
    <row r="588" ht="15.75" customHeight="1">
      <c r="A588" s="4"/>
      <c r="B588" s="4"/>
      <c r="C588" s="5"/>
      <c r="D588" s="5"/>
      <c r="E588" s="5"/>
      <c r="F588" s="5"/>
      <c r="G588" s="5"/>
    </row>
    <row r="589" ht="15.75" customHeight="1">
      <c r="A589" s="4"/>
      <c r="B589" s="4"/>
      <c r="C589" s="5"/>
      <c r="D589" s="5"/>
      <c r="E589" s="5"/>
      <c r="F589" s="5"/>
      <c r="G589" s="5"/>
    </row>
    <row r="590" ht="15.75" customHeight="1">
      <c r="A590" s="4"/>
      <c r="B590" s="4"/>
      <c r="C590" s="5"/>
      <c r="D590" s="5"/>
      <c r="E590" s="5"/>
      <c r="F590" s="5"/>
      <c r="G590" s="5"/>
    </row>
    <row r="591" ht="15.75" customHeight="1">
      <c r="A591" s="4"/>
      <c r="B591" s="4"/>
      <c r="C591" s="5"/>
      <c r="D591" s="5"/>
      <c r="E591" s="5"/>
      <c r="F591" s="5"/>
      <c r="G591" s="5"/>
    </row>
    <row r="592" ht="15.75" customHeight="1">
      <c r="A592" s="4"/>
      <c r="B592" s="4"/>
      <c r="C592" s="5"/>
      <c r="D592" s="5"/>
      <c r="E592" s="5"/>
      <c r="F592" s="5"/>
      <c r="G592" s="5"/>
    </row>
    <row r="593" ht="15.75" customHeight="1">
      <c r="A593" s="4"/>
      <c r="B593" s="4"/>
      <c r="C593" s="5"/>
      <c r="D593" s="5"/>
      <c r="E593" s="5"/>
      <c r="F593" s="5"/>
      <c r="G593" s="5"/>
    </row>
    <row r="594" ht="15.75" customHeight="1">
      <c r="A594" s="4"/>
      <c r="B594" s="4"/>
      <c r="C594" s="5"/>
      <c r="D594" s="5"/>
      <c r="E594" s="5"/>
      <c r="F594" s="5"/>
      <c r="G594" s="5"/>
    </row>
    <row r="595" ht="15.75" customHeight="1">
      <c r="A595" s="4"/>
      <c r="B595" s="4"/>
      <c r="C595" s="5"/>
      <c r="D595" s="5"/>
      <c r="E595" s="5"/>
      <c r="F595" s="5"/>
      <c r="G595" s="5"/>
    </row>
    <row r="596" ht="15.75" customHeight="1">
      <c r="A596" s="4"/>
      <c r="B596" s="4"/>
      <c r="C596" s="5"/>
      <c r="D596" s="5"/>
      <c r="E596" s="5"/>
      <c r="F596" s="5"/>
      <c r="G596" s="5"/>
    </row>
    <row r="597" ht="15.75" customHeight="1">
      <c r="A597" s="4"/>
      <c r="B597" s="4"/>
      <c r="C597" s="5"/>
      <c r="D597" s="5"/>
      <c r="E597" s="5"/>
      <c r="F597" s="5"/>
      <c r="G597" s="5"/>
    </row>
    <row r="598" ht="15.75" customHeight="1">
      <c r="A598" s="4"/>
      <c r="B598" s="4"/>
      <c r="C598" s="5"/>
      <c r="D598" s="5"/>
      <c r="E598" s="5"/>
      <c r="F598" s="5"/>
      <c r="G598" s="5"/>
    </row>
    <row r="599" ht="15.75" customHeight="1">
      <c r="A599" s="4"/>
      <c r="B599" s="4"/>
      <c r="C599" s="5"/>
      <c r="D599" s="5"/>
      <c r="E599" s="5"/>
      <c r="F599" s="5"/>
      <c r="G599" s="5"/>
    </row>
    <row r="600" ht="15.75" customHeight="1">
      <c r="A600" s="4"/>
      <c r="B600" s="4"/>
      <c r="C600" s="5"/>
      <c r="D600" s="5"/>
      <c r="E600" s="5"/>
      <c r="F600" s="5"/>
      <c r="G600" s="5"/>
    </row>
    <row r="601" ht="15.75" customHeight="1">
      <c r="A601" s="4"/>
      <c r="B601" s="4"/>
      <c r="C601" s="5"/>
      <c r="D601" s="5"/>
      <c r="E601" s="5"/>
      <c r="F601" s="5"/>
      <c r="G601" s="5"/>
    </row>
    <row r="602" ht="15.75" customHeight="1">
      <c r="A602" s="4"/>
      <c r="B602" s="4"/>
      <c r="C602" s="5"/>
      <c r="D602" s="5"/>
      <c r="E602" s="5"/>
      <c r="F602" s="5"/>
      <c r="G602" s="5"/>
    </row>
    <row r="603" ht="15.75" customHeight="1">
      <c r="A603" s="4"/>
      <c r="B603" s="4"/>
      <c r="C603" s="5"/>
      <c r="D603" s="5"/>
      <c r="E603" s="5"/>
      <c r="F603" s="5"/>
      <c r="G603" s="5"/>
    </row>
    <row r="604" ht="15.75" customHeight="1">
      <c r="A604" s="4"/>
      <c r="B604" s="4"/>
      <c r="C604" s="5"/>
      <c r="D604" s="5"/>
      <c r="E604" s="5"/>
      <c r="F604" s="5"/>
      <c r="G604" s="5"/>
    </row>
    <row r="605" ht="15.75" customHeight="1">
      <c r="A605" s="4"/>
      <c r="B605" s="4"/>
      <c r="C605" s="5"/>
      <c r="D605" s="5"/>
      <c r="E605" s="5"/>
      <c r="F605" s="5"/>
      <c r="G605" s="5"/>
    </row>
    <row r="606" ht="15.75" customHeight="1">
      <c r="A606" s="4"/>
      <c r="B606" s="4"/>
      <c r="C606" s="5"/>
      <c r="D606" s="5"/>
      <c r="E606" s="5"/>
      <c r="F606" s="5"/>
      <c r="G606" s="5"/>
    </row>
    <row r="607" ht="15.75" customHeight="1">
      <c r="A607" s="4"/>
      <c r="B607" s="4"/>
      <c r="C607" s="5"/>
      <c r="D607" s="5"/>
      <c r="E607" s="5"/>
      <c r="F607" s="5"/>
      <c r="G607" s="5"/>
    </row>
    <row r="608" ht="15.75" customHeight="1">
      <c r="A608" s="4"/>
      <c r="B608" s="4"/>
      <c r="C608" s="5"/>
      <c r="D608" s="5"/>
      <c r="E608" s="5"/>
      <c r="F608" s="5"/>
      <c r="G608" s="5"/>
    </row>
    <row r="609" ht="15.75" customHeight="1">
      <c r="A609" s="4"/>
      <c r="B609" s="4"/>
      <c r="C609" s="5"/>
      <c r="D609" s="5"/>
      <c r="E609" s="5"/>
      <c r="F609" s="5"/>
      <c r="G609" s="5"/>
    </row>
    <row r="610" ht="15.75" customHeight="1">
      <c r="A610" s="4"/>
      <c r="B610" s="4"/>
      <c r="C610" s="5"/>
      <c r="D610" s="5"/>
      <c r="E610" s="5"/>
      <c r="F610" s="5"/>
      <c r="G610" s="5"/>
    </row>
    <row r="611" ht="15.75" customHeight="1">
      <c r="A611" s="4"/>
      <c r="B611" s="4"/>
      <c r="C611" s="5"/>
      <c r="D611" s="5"/>
      <c r="E611" s="5"/>
      <c r="F611" s="5"/>
      <c r="G611" s="5"/>
    </row>
    <row r="612" ht="15.75" customHeight="1">
      <c r="A612" s="4"/>
      <c r="B612" s="4"/>
      <c r="C612" s="5"/>
      <c r="D612" s="5"/>
      <c r="E612" s="5"/>
      <c r="F612" s="5"/>
      <c r="G612" s="5"/>
    </row>
    <row r="613" ht="15.75" customHeight="1">
      <c r="A613" s="4"/>
      <c r="B613" s="4"/>
      <c r="C613" s="5"/>
      <c r="D613" s="5"/>
      <c r="E613" s="5"/>
      <c r="F613" s="5"/>
      <c r="G613" s="5"/>
    </row>
    <row r="614" ht="15.75" customHeight="1">
      <c r="A614" s="4"/>
      <c r="B614" s="4"/>
      <c r="C614" s="5"/>
      <c r="D614" s="5"/>
      <c r="E614" s="5"/>
      <c r="F614" s="5"/>
      <c r="G614" s="5"/>
    </row>
    <row r="615" ht="15.75" customHeight="1">
      <c r="A615" s="4"/>
      <c r="B615" s="4"/>
      <c r="C615" s="5"/>
      <c r="D615" s="5"/>
      <c r="E615" s="5"/>
      <c r="F615" s="5"/>
      <c r="G615" s="5"/>
    </row>
    <row r="616" ht="15.75" customHeight="1">
      <c r="A616" s="4"/>
      <c r="B616" s="4"/>
      <c r="C616" s="5"/>
      <c r="D616" s="5"/>
      <c r="E616" s="5"/>
      <c r="F616" s="5"/>
      <c r="G616" s="5"/>
    </row>
    <row r="617" ht="15.75" customHeight="1">
      <c r="A617" s="4"/>
      <c r="B617" s="4"/>
      <c r="C617" s="5"/>
      <c r="D617" s="5"/>
      <c r="E617" s="5"/>
      <c r="F617" s="5"/>
      <c r="G617" s="5"/>
    </row>
    <row r="618" ht="15.75" customHeight="1">
      <c r="A618" s="4"/>
      <c r="B618" s="4"/>
      <c r="C618" s="5"/>
      <c r="D618" s="5"/>
      <c r="E618" s="5"/>
      <c r="F618" s="5"/>
      <c r="G618" s="5"/>
    </row>
    <row r="619" ht="15.75" customHeight="1">
      <c r="A619" s="4"/>
      <c r="B619" s="4"/>
      <c r="C619" s="5"/>
      <c r="D619" s="5"/>
      <c r="E619" s="5"/>
      <c r="F619" s="5"/>
      <c r="G619" s="5"/>
    </row>
    <row r="620" ht="15.75" customHeight="1">
      <c r="A620" s="4"/>
      <c r="B620" s="4"/>
      <c r="C620" s="5"/>
      <c r="D620" s="5"/>
      <c r="E620" s="5"/>
      <c r="F620" s="5"/>
      <c r="G620" s="5"/>
    </row>
    <row r="621" ht="15.75" customHeight="1">
      <c r="A621" s="4"/>
      <c r="B621" s="4"/>
      <c r="C621" s="5"/>
      <c r="D621" s="5"/>
      <c r="E621" s="5"/>
      <c r="F621" s="5"/>
      <c r="G621" s="5"/>
    </row>
    <row r="622" ht="15.75" customHeight="1">
      <c r="A622" s="4"/>
      <c r="B622" s="4"/>
      <c r="C622" s="5"/>
      <c r="D622" s="5"/>
      <c r="E622" s="5"/>
      <c r="F622" s="5"/>
      <c r="G622" s="5"/>
    </row>
    <row r="623" ht="15.75" customHeight="1">
      <c r="A623" s="4"/>
      <c r="B623" s="4"/>
      <c r="C623" s="5"/>
      <c r="D623" s="5"/>
      <c r="E623" s="5"/>
      <c r="F623" s="5"/>
      <c r="G623" s="5"/>
    </row>
    <row r="624" ht="15.75" customHeight="1">
      <c r="A624" s="4"/>
      <c r="B624" s="4"/>
      <c r="C624" s="5"/>
      <c r="D624" s="5"/>
      <c r="E624" s="5"/>
      <c r="F624" s="5"/>
      <c r="G624" s="5"/>
    </row>
    <row r="625" ht="15.75" customHeight="1">
      <c r="A625" s="4"/>
      <c r="B625" s="4"/>
      <c r="C625" s="5"/>
      <c r="D625" s="5"/>
      <c r="E625" s="5"/>
      <c r="F625" s="5"/>
      <c r="G625" s="5"/>
    </row>
    <row r="626" ht="15.75" customHeight="1">
      <c r="A626" s="4"/>
      <c r="B626" s="4"/>
      <c r="C626" s="5"/>
      <c r="D626" s="5"/>
      <c r="E626" s="5"/>
      <c r="F626" s="5"/>
      <c r="G626" s="5"/>
    </row>
    <row r="627" ht="15.75" customHeight="1">
      <c r="A627" s="4"/>
      <c r="B627" s="4"/>
      <c r="C627" s="5"/>
      <c r="D627" s="5"/>
      <c r="E627" s="5"/>
      <c r="F627" s="5"/>
      <c r="G627" s="5"/>
    </row>
    <row r="628" ht="15.75" customHeight="1">
      <c r="A628" s="4"/>
      <c r="B628" s="4"/>
      <c r="C628" s="5"/>
      <c r="D628" s="5"/>
      <c r="E628" s="5"/>
      <c r="F628" s="5"/>
      <c r="G628" s="5"/>
    </row>
    <row r="629" ht="15.75" customHeight="1">
      <c r="A629" s="4"/>
      <c r="B629" s="4"/>
      <c r="C629" s="5"/>
      <c r="D629" s="5"/>
      <c r="E629" s="5"/>
      <c r="F629" s="5"/>
      <c r="G629" s="5"/>
    </row>
    <row r="630" ht="15.75" customHeight="1">
      <c r="A630" s="4"/>
      <c r="B630" s="4"/>
      <c r="C630" s="5"/>
      <c r="D630" s="5"/>
      <c r="E630" s="5"/>
      <c r="F630" s="5"/>
      <c r="G630" s="5"/>
    </row>
    <row r="631" ht="15.75" customHeight="1">
      <c r="A631" s="4"/>
      <c r="B631" s="4"/>
      <c r="C631" s="5"/>
      <c r="D631" s="5"/>
      <c r="E631" s="5"/>
      <c r="F631" s="5"/>
      <c r="G631" s="5"/>
    </row>
    <row r="632" ht="15.75" customHeight="1">
      <c r="A632" s="4"/>
      <c r="B632" s="4"/>
      <c r="C632" s="5"/>
      <c r="D632" s="5"/>
      <c r="E632" s="5"/>
      <c r="F632" s="5"/>
      <c r="G632" s="5"/>
    </row>
    <row r="633" ht="15.75" customHeight="1">
      <c r="A633" s="4"/>
      <c r="B633" s="4"/>
      <c r="C633" s="5"/>
      <c r="D633" s="5"/>
      <c r="E633" s="5"/>
      <c r="F633" s="5"/>
      <c r="G633" s="5"/>
    </row>
    <row r="634" ht="15.75" customHeight="1">
      <c r="A634" s="4"/>
      <c r="B634" s="4"/>
      <c r="C634" s="5"/>
      <c r="D634" s="5"/>
      <c r="E634" s="5"/>
      <c r="F634" s="5"/>
      <c r="G634" s="5"/>
    </row>
    <row r="635" ht="15.75" customHeight="1">
      <c r="A635" s="4"/>
      <c r="B635" s="4"/>
      <c r="C635" s="5"/>
      <c r="D635" s="5"/>
      <c r="E635" s="5"/>
      <c r="F635" s="5"/>
      <c r="G635" s="5"/>
    </row>
    <row r="636" ht="15.75" customHeight="1">
      <c r="A636" s="4"/>
      <c r="B636" s="4"/>
      <c r="C636" s="5"/>
      <c r="D636" s="5"/>
      <c r="E636" s="5"/>
      <c r="F636" s="5"/>
      <c r="G636" s="5"/>
    </row>
    <row r="637" ht="15.75" customHeight="1">
      <c r="A637" s="4"/>
      <c r="B637" s="4"/>
      <c r="C637" s="5"/>
      <c r="D637" s="5"/>
      <c r="E637" s="5"/>
      <c r="F637" s="5"/>
      <c r="G637" s="5"/>
    </row>
    <row r="638" ht="15.75" customHeight="1">
      <c r="A638" s="4"/>
      <c r="B638" s="4"/>
      <c r="C638" s="5"/>
      <c r="D638" s="5"/>
      <c r="E638" s="5"/>
      <c r="F638" s="5"/>
      <c r="G638" s="5"/>
    </row>
    <row r="639" ht="15.75" customHeight="1">
      <c r="A639" s="4"/>
      <c r="B639" s="4"/>
      <c r="C639" s="5"/>
      <c r="D639" s="5"/>
      <c r="E639" s="5"/>
      <c r="F639" s="5"/>
      <c r="G639" s="5"/>
    </row>
    <row r="640" ht="15.75" customHeight="1">
      <c r="A640" s="4"/>
      <c r="B640" s="4"/>
      <c r="C640" s="5"/>
      <c r="D640" s="5"/>
      <c r="E640" s="5"/>
      <c r="F640" s="5"/>
      <c r="G640" s="5"/>
    </row>
    <row r="641" ht="15.75" customHeight="1">
      <c r="A641" s="4"/>
      <c r="B641" s="4"/>
      <c r="C641" s="5"/>
      <c r="D641" s="5"/>
      <c r="E641" s="5"/>
      <c r="F641" s="5"/>
      <c r="G641" s="5"/>
    </row>
    <row r="642" ht="15.75" customHeight="1">
      <c r="A642" s="4"/>
      <c r="B642" s="4"/>
      <c r="C642" s="5"/>
      <c r="D642" s="5"/>
      <c r="E642" s="5"/>
      <c r="F642" s="5"/>
      <c r="G642" s="5"/>
    </row>
    <row r="643" ht="15.75" customHeight="1">
      <c r="A643" s="4"/>
      <c r="B643" s="4"/>
      <c r="C643" s="5"/>
      <c r="D643" s="5"/>
      <c r="E643" s="5"/>
      <c r="F643" s="5"/>
      <c r="G643" s="5"/>
    </row>
    <row r="644" ht="15.75" customHeight="1">
      <c r="A644" s="4"/>
      <c r="B644" s="4"/>
      <c r="C644" s="5"/>
      <c r="D644" s="5"/>
      <c r="E644" s="5"/>
      <c r="F644" s="5"/>
      <c r="G644" s="5"/>
    </row>
    <row r="645" ht="15.75" customHeight="1">
      <c r="A645" s="4"/>
      <c r="B645" s="4"/>
      <c r="C645" s="5"/>
      <c r="D645" s="5"/>
      <c r="E645" s="5"/>
      <c r="F645" s="5"/>
      <c r="G645" s="5"/>
    </row>
    <row r="646" ht="15.75" customHeight="1">
      <c r="A646" s="4"/>
      <c r="B646" s="4"/>
      <c r="C646" s="5"/>
      <c r="D646" s="5"/>
      <c r="E646" s="5"/>
      <c r="F646" s="5"/>
      <c r="G646" s="5"/>
    </row>
    <row r="647" ht="15.75" customHeight="1">
      <c r="A647" s="4"/>
      <c r="B647" s="4"/>
      <c r="C647" s="5"/>
      <c r="D647" s="5"/>
      <c r="E647" s="5"/>
      <c r="F647" s="5"/>
      <c r="G647" s="5"/>
    </row>
    <row r="648" ht="15.75" customHeight="1">
      <c r="A648" s="4"/>
      <c r="B648" s="4"/>
      <c r="C648" s="5"/>
      <c r="D648" s="5"/>
      <c r="E648" s="5"/>
      <c r="F648" s="5"/>
      <c r="G648" s="5"/>
    </row>
    <row r="649" ht="15.75" customHeight="1">
      <c r="A649" s="4"/>
      <c r="B649" s="4"/>
      <c r="C649" s="5"/>
      <c r="D649" s="5"/>
      <c r="E649" s="5"/>
      <c r="F649" s="5"/>
      <c r="G649" s="5"/>
    </row>
    <row r="650" ht="15.75" customHeight="1">
      <c r="A650" s="4"/>
      <c r="B650" s="4"/>
      <c r="C650" s="5"/>
      <c r="D650" s="5"/>
      <c r="E650" s="5"/>
      <c r="F650" s="5"/>
      <c r="G650" s="5"/>
    </row>
    <row r="651" ht="15.75" customHeight="1">
      <c r="A651" s="4"/>
      <c r="B651" s="4"/>
      <c r="C651" s="5"/>
      <c r="D651" s="5"/>
      <c r="E651" s="5"/>
      <c r="F651" s="5"/>
      <c r="G651" s="5"/>
    </row>
    <row r="652" ht="15.75" customHeight="1">
      <c r="A652" s="4"/>
      <c r="B652" s="4"/>
      <c r="C652" s="5"/>
      <c r="D652" s="5"/>
      <c r="E652" s="5"/>
      <c r="F652" s="5"/>
      <c r="G652" s="5"/>
    </row>
    <row r="653" ht="15.75" customHeight="1">
      <c r="A653" s="4"/>
      <c r="B653" s="4"/>
      <c r="C653" s="5"/>
      <c r="D653" s="5"/>
      <c r="E653" s="5"/>
      <c r="F653" s="5"/>
      <c r="G653" s="5"/>
    </row>
    <row r="654" ht="15.75" customHeight="1">
      <c r="A654" s="4"/>
      <c r="B654" s="4"/>
      <c r="C654" s="5"/>
      <c r="D654" s="5"/>
      <c r="E654" s="5"/>
      <c r="F654" s="5"/>
      <c r="G654" s="5"/>
    </row>
    <row r="655" ht="15.75" customHeight="1">
      <c r="A655" s="4"/>
      <c r="B655" s="4"/>
      <c r="C655" s="5"/>
      <c r="D655" s="5"/>
      <c r="E655" s="5"/>
      <c r="F655" s="5"/>
      <c r="G655" s="5"/>
    </row>
    <row r="656" ht="15.75" customHeight="1">
      <c r="A656" s="4"/>
      <c r="B656" s="4"/>
      <c r="C656" s="5"/>
      <c r="D656" s="5"/>
      <c r="E656" s="5"/>
      <c r="F656" s="5"/>
      <c r="G656" s="5"/>
    </row>
    <row r="657" ht="15.75" customHeight="1">
      <c r="A657" s="4"/>
      <c r="B657" s="4"/>
      <c r="C657" s="5"/>
      <c r="D657" s="5"/>
      <c r="E657" s="5"/>
      <c r="F657" s="5"/>
      <c r="G657" s="5"/>
    </row>
    <row r="658" ht="15.75" customHeight="1">
      <c r="A658" s="4"/>
      <c r="B658" s="4"/>
      <c r="C658" s="5"/>
      <c r="D658" s="5"/>
      <c r="E658" s="5"/>
      <c r="F658" s="5"/>
      <c r="G658" s="5"/>
    </row>
    <row r="659" ht="15.75" customHeight="1">
      <c r="A659" s="4"/>
      <c r="B659" s="4"/>
      <c r="C659" s="5"/>
      <c r="D659" s="5"/>
      <c r="E659" s="5"/>
      <c r="F659" s="5"/>
      <c r="G659" s="5"/>
    </row>
    <row r="660" ht="15.75" customHeight="1">
      <c r="A660" s="4"/>
      <c r="B660" s="4"/>
      <c r="C660" s="5"/>
      <c r="D660" s="5"/>
      <c r="E660" s="5"/>
      <c r="F660" s="5"/>
      <c r="G660" s="5"/>
    </row>
    <row r="661" ht="15.75" customHeight="1">
      <c r="A661" s="4"/>
      <c r="B661" s="4"/>
      <c r="C661" s="5"/>
      <c r="D661" s="5"/>
      <c r="E661" s="5"/>
      <c r="F661" s="5"/>
      <c r="G661" s="5"/>
    </row>
    <row r="662" ht="15.75" customHeight="1">
      <c r="A662" s="4"/>
      <c r="B662" s="4"/>
      <c r="C662" s="5"/>
      <c r="D662" s="5"/>
      <c r="E662" s="5"/>
      <c r="F662" s="5"/>
      <c r="G662" s="5"/>
    </row>
    <row r="663" ht="15.75" customHeight="1">
      <c r="A663" s="4"/>
      <c r="B663" s="4"/>
      <c r="C663" s="5"/>
      <c r="D663" s="5"/>
      <c r="E663" s="5"/>
      <c r="F663" s="5"/>
      <c r="G663" s="5"/>
    </row>
    <row r="664" ht="15.75" customHeight="1">
      <c r="A664" s="4"/>
      <c r="B664" s="4"/>
      <c r="C664" s="5"/>
      <c r="D664" s="5"/>
      <c r="E664" s="5"/>
      <c r="F664" s="5"/>
      <c r="G664" s="5"/>
    </row>
    <row r="665" ht="15.75" customHeight="1">
      <c r="A665" s="4"/>
      <c r="B665" s="4"/>
      <c r="C665" s="5"/>
      <c r="D665" s="5"/>
      <c r="E665" s="5"/>
      <c r="F665" s="5"/>
      <c r="G665" s="5"/>
    </row>
    <row r="666" ht="15.75" customHeight="1">
      <c r="A666" s="4"/>
      <c r="B666" s="4"/>
      <c r="C666" s="5"/>
      <c r="D666" s="5"/>
      <c r="E666" s="5"/>
      <c r="F666" s="5"/>
      <c r="G666" s="5"/>
    </row>
    <row r="667" ht="15.75" customHeight="1">
      <c r="A667" s="4"/>
      <c r="B667" s="4"/>
      <c r="C667" s="5"/>
      <c r="D667" s="5"/>
      <c r="E667" s="5"/>
      <c r="F667" s="5"/>
      <c r="G667" s="5"/>
    </row>
    <row r="668" ht="15.75" customHeight="1">
      <c r="A668" s="4"/>
      <c r="B668" s="4"/>
      <c r="C668" s="5"/>
      <c r="D668" s="5"/>
      <c r="E668" s="5"/>
      <c r="F668" s="5"/>
      <c r="G668" s="5"/>
    </row>
    <row r="669" ht="15.75" customHeight="1">
      <c r="A669" s="4"/>
      <c r="B669" s="4"/>
      <c r="C669" s="5"/>
      <c r="D669" s="5"/>
      <c r="E669" s="5"/>
      <c r="F669" s="5"/>
      <c r="G669" s="5"/>
    </row>
    <row r="670" ht="15.75" customHeight="1">
      <c r="A670" s="4"/>
      <c r="B670" s="4"/>
      <c r="C670" s="5"/>
      <c r="D670" s="5"/>
      <c r="E670" s="5"/>
      <c r="F670" s="5"/>
      <c r="G670" s="5"/>
    </row>
    <row r="671" ht="15.75" customHeight="1">
      <c r="A671" s="4"/>
      <c r="B671" s="4"/>
      <c r="C671" s="5"/>
      <c r="D671" s="5"/>
      <c r="E671" s="5"/>
      <c r="F671" s="5"/>
      <c r="G671" s="5"/>
    </row>
    <row r="672" ht="15.75" customHeight="1">
      <c r="A672" s="4"/>
      <c r="B672" s="4"/>
      <c r="C672" s="5"/>
      <c r="D672" s="5"/>
      <c r="E672" s="5"/>
      <c r="F672" s="5"/>
      <c r="G672" s="5"/>
    </row>
    <row r="673" ht="15.75" customHeight="1">
      <c r="A673" s="4"/>
      <c r="B673" s="4"/>
      <c r="C673" s="5"/>
      <c r="D673" s="5"/>
      <c r="E673" s="5"/>
      <c r="F673" s="5"/>
      <c r="G673" s="5"/>
    </row>
    <row r="674" ht="15.75" customHeight="1">
      <c r="A674" s="4"/>
      <c r="B674" s="4"/>
      <c r="C674" s="5"/>
      <c r="D674" s="5"/>
      <c r="E674" s="5"/>
      <c r="F674" s="5"/>
      <c r="G674" s="5"/>
    </row>
    <row r="675" ht="15.75" customHeight="1">
      <c r="A675" s="4"/>
      <c r="B675" s="4"/>
      <c r="C675" s="5"/>
      <c r="D675" s="5"/>
      <c r="E675" s="5"/>
      <c r="F675" s="5"/>
      <c r="G675" s="5"/>
    </row>
    <row r="676" ht="15.75" customHeight="1">
      <c r="A676" s="4"/>
      <c r="B676" s="4"/>
      <c r="C676" s="5"/>
      <c r="D676" s="5"/>
      <c r="E676" s="5"/>
      <c r="F676" s="5"/>
      <c r="G676" s="5"/>
    </row>
    <row r="677" ht="15.75" customHeight="1">
      <c r="A677" s="4"/>
      <c r="B677" s="4"/>
      <c r="C677" s="5"/>
      <c r="D677" s="5"/>
      <c r="E677" s="5"/>
      <c r="F677" s="5"/>
      <c r="G677" s="5"/>
    </row>
    <row r="678" ht="15.75" customHeight="1">
      <c r="A678" s="4"/>
      <c r="B678" s="4"/>
      <c r="C678" s="5"/>
      <c r="D678" s="5"/>
      <c r="E678" s="5"/>
      <c r="F678" s="5"/>
      <c r="G678" s="5"/>
    </row>
    <row r="679" ht="15.75" customHeight="1">
      <c r="A679" s="4"/>
      <c r="B679" s="4"/>
      <c r="C679" s="5"/>
      <c r="D679" s="5"/>
      <c r="E679" s="5"/>
      <c r="F679" s="5"/>
      <c r="G679" s="5"/>
    </row>
    <row r="680" ht="15.75" customHeight="1">
      <c r="A680" s="4"/>
      <c r="B680" s="4"/>
      <c r="C680" s="5"/>
      <c r="D680" s="5"/>
      <c r="E680" s="5"/>
      <c r="F680" s="5"/>
      <c r="G680" s="5"/>
    </row>
    <row r="681" ht="15.75" customHeight="1">
      <c r="A681" s="4"/>
      <c r="B681" s="4"/>
      <c r="C681" s="5"/>
      <c r="D681" s="5"/>
      <c r="E681" s="5"/>
      <c r="F681" s="5"/>
      <c r="G681" s="5"/>
    </row>
    <row r="682" ht="15.75" customHeight="1">
      <c r="A682" s="4"/>
      <c r="B682" s="4"/>
      <c r="C682" s="5"/>
      <c r="D682" s="5"/>
      <c r="E682" s="5"/>
      <c r="F682" s="5"/>
      <c r="G682" s="5"/>
    </row>
    <row r="683" ht="15.75" customHeight="1">
      <c r="A683" s="4"/>
      <c r="B683" s="4"/>
      <c r="C683" s="5"/>
      <c r="D683" s="5"/>
      <c r="E683" s="5"/>
      <c r="F683" s="5"/>
      <c r="G683" s="5"/>
    </row>
    <row r="684" ht="15.75" customHeight="1">
      <c r="A684" s="4"/>
      <c r="B684" s="4"/>
      <c r="C684" s="5"/>
      <c r="D684" s="5"/>
      <c r="E684" s="5"/>
      <c r="F684" s="5"/>
      <c r="G684" s="5"/>
    </row>
    <row r="685" ht="15.75" customHeight="1">
      <c r="A685" s="4"/>
      <c r="B685" s="4"/>
      <c r="C685" s="5"/>
      <c r="D685" s="5"/>
      <c r="E685" s="5"/>
      <c r="F685" s="5"/>
      <c r="G685" s="5"/>
    </row>
    <row r="686" ht="15.75" customHeight="1">
      <c r="A686" s="4"/>
      <c r="B686" s="4"/>
      <c r="C686" s="5"/>
      <c r="D686" s="5"/>
      <c r="E686" s="5"/>
      <c r="F686" s="5"/>
      <c r="G686" s="5"/>
    </row>
    <row r="687" ht="15.75" customHeight="1">
      <c r="A687" s="4"/>
      <c r="B687" s="4"/>
      <c r="C687" s="5"/>
      <c r="D687" s="5"/>
      <c r="E687" s="5"/>
      <c r="F687" s="5"/>
      <c r="G687" s="5"/>
    </row>
    <row r="688" ht="15.75" customHeight="1">
      <c r="A688" s="4"/>
      <c r="B688" s="4"/>
      <c r="C688" s="5"/>
      <c r="D688" s="5"/>
      <c r="E688" s="5"/>
      <c r="F688" s="5"/>
      <c r="G688" s="5"/>
    </row>
    <row r="689" ht="15.75" customHeight="1">
      <c r="A689" s="4"/>
      <c r="B689" s="4"/>
      <c r="C689" s="5"/>
      <c r="D689" s="5"/>
      <c r="E689" s="5"/>
      <c r="F689" s="5"/>
      <c r="G689" s="5"/>
    </row>
    <row r="690" ht="15.75" customHeight="1">
      <c r="A690" s="4"/>
      <c r="B690" s="4"/>
      <c r="C690" s="5"/>
      <c r="D690" s="5"/>
      <c r="E690" s="5"/>
      <c r="F690" s="5"/>
      <c r="G690" s="5"/>
    </row>
    <row r="691" ht="15.75" customHeight="1">
      <c r="A691" s="4"/>
      <c r="B691" s="4"/>
      <c r="C691" s="5"/>
      <c r="D691" s="5"/>
      <c r="E691" s="5"/>
      <c r="F691" s="5"/>
      <c r="G691" s="5"/>
    </row>
    <row r="692" ht="15.75" customHeight="1">
      <c r="A692" s="4"/>
      <c r="B692" s="4"/>
      <c r="C692" s="5"/>
      <c r="D692" s="5"/>
      <c r="E692" s="5"/>
      <c r="F692" s="5"/>
      <c r="G692" s="5"/>
    </row>
    <row r="693" ht="15.75" customHeight="1">
      <c r="A693" s="4"/>
      <c r="B693" s="4"/>
      <c r="C693" s="5"/>
      <c r="D693" s="5"/>
      <c r="E693" s="5"/>
      <c r="F693" s="5"/>
      <c r="G693" s="5"/>
    </row>
    <row r="694" ht="15.75" customHeight="1">
      <c r="A694" s="4"/>
      <c r="B694" s="4"/>
      <c r="C694" s="5"/>
      <c r="D694" s="5"/>
      <c r="E694" s="5"/>
      <c r="F694" s="5"/>
      <c r="G694" s="5"/>
    </row>
    <row r="695" ht="15.75" customHeight="1">
      <c r="A695" s="4"/>
      <c r="B695" s="4"/>
      <c r="C695" s="5"/>
      <c r="D695" s="5"/>
      <c r="E695" s="5"/>
      <c r="F695" s="5"/>
      <c r="G695" s="5"/>
    </row>
    <row r="696" ht="15.75" customHeight="1">
      <c r="A696" s="4"/>
      <c r="B696" s="4"/>
      <c r="C696" s="5"/>
      <c r="D696" s="5"/>
      <c r="E696" s="5"/>
      <c r="F696" s="5"/>
      <c r="G696" s="5"/>
    </row>
    <row r="697" ht="15.75" customHeight="1">
      <c r="A697" s="4"/>
      <c r="B697" s="4"/>
      <c r="C697" s="5"/>
      <c r="D697" s="5"/>
      <c r="E697" s="5"/>
      <c r="F697" s="5"/>
      <c r="G697" s="5"/>
    </row>
    <row r="698" ht="15.75" customHeight="1">
      <c r="A698" s="4"/>
      <c r="B698" s="4"/>
      <c r="C698" s="5"/>
      <c r="D698" s="5"/>
      <c r="E698" s="5"/>
      <c r="F698" s="5"/>
      <c r="G698" s="5"/>
    </row>
    <row r="699" ht="15.75" customHeight="1">
      <c r="A699" s="4"/>
      <c r="B699" s="4"/>
      <c r="C699" s="5"/>
      <c r="D699" s="5"/>
      <c r="E699" s="5"/>
      <c r="F699" s="5"/>
      <c r="G699" s="5"/>
    </row>
    <row r="700" ht="15.75" customHeight="1">
      <c r="A700" s="4"/>
      <c r="B700" s="4"/>
      <c r="C700" s="5"/>
      <c r="D700" s="5"/>
      <c r="E700" s="5"/>
      <c r="F700" s="5"/>
      <c r="G700" s="5"/>
    </row>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31.38"/>
    <col customWidth="1" min="4" max="5" width="37.63"/>
    <col customWidth="1" min="6" max="6" width="62.63"/>
  </cols>
  <sheetData>
    <row r="1" ht="15.75" customHeight="1">
      <c r="A1" s="4" t="s">
        <v>1</v>
      </c>
      <c r="B1" s="4" t="s">
        <v>2</v>
      </c>
      <c r="C1" s="5" t="s">
        <v>3</v>
      </c>
      <c r="D1" s="5" t="s">
        <v>4</v>
      </c>
      <c r="E1" s="5" t="s">
        <v>5</v>
      </c>
      <c r="F1" s="5" t="s">
        <v>6</v>
      </c>
      <c r="G1" s="5"/>
    </row>
    <row r="2" ht="15.75" customHeight="1">
      <c r="A2" s="4">
        <v>45936.56672756944</v>
      </c>
      <c r="B2" s="4">
        <v>45936.290613425925</v>
      </c>
      <c r="C2" s="5" t="s">
        <v>10</v>
      </c>
      <c r="D2" s="6" t="str">
        <f>HYPERLINK("https://mail.google.com/mail?extsrc=sync&amp;client=docs&amp;plid=ACUX6DNRxUY9dGyNZkF8oFZpcTdOU4PhPNd5TZ4", "AMMENDED NOTICE OF EX PARTE HEARING [DOCUMENTS ATTACHED]– Tuesday 10/07/2025 at 8:30 a.m. – Dept. L, Pasadena, – Case: Sayegh v. Sayegh, Case No. 25PDR001260")</f>
        <v>AMMENDED NOTICE OF EX PARTE HEARING [DOCUMENTS ATTACHED]– Tuesday 10/07/2025 at 8:30 a.m. – Dept. L, Pasadena, – Case: Sayegh v. Sayegh, Case No. 25PDR001260</v>
      </c>
      <c r="E2" s="6" t="str">
        <f>HYPERLINK("https://drive.google.com/file/d/1Lq0IpFX5VuPyApOXeqdW4G0P0j1Sw9T7/view", "AMMENDED NOTICE OF EX PARTE HEARING [DOCUMENTS ATTACHED]– Tuesday 10072025 at 830 a.m. – Dept. L, Pasadena, – Case Sayegh v. Sayegh, Case No. 25PDR001260.pdf")</f>
        <v>AMMENDED NOTICE OF EX PARTE HEARING [DOCUMENTS ATTACHED]– Tuesday 10072025 at 830 a.m. – Dept. L, Pasadena, – Case Sayegh v. Sayegh, Case No. 25PDR001260.pdf</v>
      </c>
      <c r="F2" s="6" t="str">
        <f t="shared" ref="F2:F16" si="1">HYPERLINK("https://drive.google.com/drive/folders/1H2Y273h5WzP-G7zLCrkdRp2R6EFak-SF", "My Drive &gt; SVS &gt; emails &gt; Users &gt; ericjones &gt; Library &gt; CloudStorage &gt; GoogleDrive-eric@recovery-compass.org &gt; My &gt; Drive &gt; SVS &gt; emails &gt; fahed- &gt; 'freddy &gt; '-sayegh")</f>
        <v>My Drive &gt; SVS &gt; emails &gt; Users &gt; ericjones &gt; Library &gt; CloudStorage &gt; GoogleDrive-eric@recovery-compass.org &gt; My &gt; Drive &gt; SVS &gt; emails &gt; fahed- &gt; 'freddy &gt; '-sayegh</v>
      </c>
      <c r="G2" s="5"/>
    </row>
    <row r="3" ht="15.75" customHeight="1">
      <c r="A3" s="4">
        <v>45936.5666952662</v>
      </c>
      <c r="B3" s="4">
        <v>45933.48048611111</v>
      </c>
      <c r="C3" s="5" t="s">
        <v>10</v>
      </c>
      <c r="D3" s="6" t="str">
        <f>HYPERLINK("https://mail.google.com/mail?extsrc=sync&amp;client=docs&amp;plid=ACUX6DN1qn2scgw-GVu4Icaf8_HE8yo-BSpllAs", "AMMENDED NOTICE OF EX PARTE HEARING – Monday 10/07/2025 at 8:30 a.m. – Dept. L, Pasadena, – Sayegh v. Sayegh, N 8:30")</f>
        <v>AMMENDED NOTICE OF EX PARTE HEARING – Monday 10/07/2025 at 8:30 a.m. – Dept. L, Pasadena, – Sayegh v. Sayegh, N 8:30</v>
      </c>
      <c r="E3" s="6" t="str">
        <f>HYPERLINK("https://drive.google.com/file/d/1OVT67Mn3LyyIcG29547Q7jN9OZUu8ff6/view", "AMMENDED NOTICE OF EX PARTE HEARING – Monday 10072025 at 830 a.m. – Dept. L, Pasadena, – Sayegh v. Sayegh, N 830.pdf")</f>
        <v>AMMENDED NOTICE OF EX PARTE HEARING – Monday 10072025 at 830 a.m. – Dept. L, Pasadena, – Sayegh v. Sayegh, N 830.pdf</v>
      </c>
      <c r="F3" s="6" t="str">
        <f t="shared" si="1"/>
        <v>My Drive &gt; SVS &gt; emails &gt; Users &gt; ericjones &gt; Library &gt; CloudStorage &gt; GoogleDrive-eric@recovery-compass.org &gt; My &gt; Drive &gt; SVS &gt; emails &gt; fahed- &gt; 'freddy &gt; '-sayegh</v>
      </c>
      <c r="G3" s="5"/>
    </row>
    <row r="4" ht="15.75" customHeight="1">
      <c r="A4" s="4">
        <v>45936.566654317125</v>
      </c>
      <c r="B4" s="4">
        <v>45933.40949074074</v>
      </c>
      <c r="C4" s="5" t="s">
        <v>10</v>
      </c>
      <c r="D4" s="6" t="str">
        <f>HYPERLINK("https://mail.google.com/mail?extsrc=sync&amp;client=docs&amp;plid=ACUX6DPoSvsL0iCLOuZ3lOCH3QxVLNg1xzgA98U", "Subject: Notice re Subpoena, Non-Appearance on 10/01/2025, and Production of Mia on 10/15/2025 (Dept. L) — Sayegh v. Sayegh25PDR001260 #1/2")</f>
        <v>Subject: Notice re Subpoena, Non-Appearance on 10/01/2025, and Production of Mia on 10/15/2025 (Dept. L) — Sayegh v. Sayegh25PDR001260 #1/2</v>
      </c>
      <c r="E4" s="6" t="str">
        <f>HYPERLINK("https://drive.google.com/file/d/16UHS7Gp5jszkqTXonCTW9UZTEVs4w8pj/view", "INTENT TO CONCEAL WITNESS FROM SUBPEONA.pdf")</f>
        <v>INTENT TO CONCEAL WITNESS FROM SUBPEONA.pdf</v>
      </c>
      <c r="F4" s="6" t="str">
        <f t="shared" si="1"/>
        <v>My Drive &gt; SVS &gt; emails &gt; Users &gt; ericjones &gt; Library &gt; CloudStorage &gt; GoogleDrive-eric@recovery-compass.org &gt; My &gt; Drive &gt; SVS &gt; emails &gt; fahed- &gt; 'freddy &gt; '-sayegh</v>
      </c>
      <c r="G4" s="5"/>
    </row>
    <row r="5" ht="15.75" customHeight="1">
      <c r="A5" s="4">
        <v>45936.56665436343</v>
      </c>
      <c r="B5" s="4">
        <v>45933.40949074074</v>
      </c>
      <c r="C5" s="5" t="s">
        <v>10</v>
      </c>
      <c r="D5" s="6" t="str">
        <f>HYPERLINK("https://mail.google.com/mail?extsrc=sync&amp;client=docs&amp;plid=ACUX6DPoSvsL0iCLOuZ3lOCH3QxVLNg1xzgA98U", "Subject: Notice re Subpoena, Non-Appearance on 10/01/2025, and Production of Mia on 10/15/2025 (Dept. L) — Sayegh v. Sayegh25PDR001260 #2/2")</f>
        <v>Subject: Notice re Subpoena, Non-Appearance on 10/01/2025, and Production of Mia on 10/15/2025 (Dept. L) — Sayegh v. Sayegh25PDR001260 #2/2</v>
      </c>
      <c r="E5" s="6" t="str">
        <f>HYPERLINK("https://drive.google.com/file/d/1D3_ibFXXmOf3GeOzbH5im_VNsuGebP2K/view", "PROOF OF SERVICE SUBPEONA OF MIS SAYEGH.pdf")</f>
        <v>PROOF OF SERVICE SUBPEONA OF MIS SAYEGH.pdf</v>
      </c>
      <c r="F5" s="6" t="str">
        <f t="shared" si="1"/>
        <v>My Drive &gt; SVS &gt; emails &gt; Users &gt; ericjones &gt; Library &gt; CloudStorage &gt; GoogleDrive-eric@recovery-compass.org &gt; My &gt; Drive &gt; SVS &gt; emails &gt; fahed- &gt; 'freddy &gt; '-sayegh</v>
      </c>
      <c r="G5" s="5"/>
    </row>
    <row r="6" ht="15.75" customHeight="1">
      <c r="A6" s="4">
        <v>45936.56656122685</v>
      </c>
      <c r="B6" s="4">
        <v>45932.43803240741</v>
      </c>
      <c r="C6" s="5" t="s">
        <v>10</v>
      </c>
      <c r="D6" s="6" t="str">
        <f t="shared" ref="D6:D7" si="2">HYPERLINK("https://mail.google.com/mail?extsrc=sync&amp;client=docs&amp;plid=ACUX6DO_P8KR5Ox8nE2SS5dy6yE2SdfYUivRvds", "Re: NOTICE OF EX PARTE HEARING – Tomorrow 10/03/2025 at 8:30 a.m. – Dept. L (Pasadena) – Sayegh v. Sayegh (25PDFL01441)")</f>
        <v>Re: NOTICE OF EX PARTE HEARING – Tomorrow 10/03/2025 at 8:30 a.m. – Dept. L (Pasadena) – Sayegh v. Sayegh (25PDFL01441)</v>
      </c>
      <c r="E6" s="6" t="str">
        <f>HYPERLINK("https://drive.google.com/file/d/1hT3n4ttxQ2k-yriwSXDKayYdziwDfCe-/view", "proposed order (1).pdf")</f>
        <v>proposed order (1).pdf</v>
      </c>
      <c r="F6" s="6" t="str">
        <f t="shared" si="1"/>
        <v>My Drive &gt; SVS &gt; emails &gt; Users &gt; ericjones &gt; Library &gt; CloudStorage &gt; GoogleDrive-eric@recovery-compass.org &gt; My &gt; Drive &gt; SVS &gt; emails &gt; fahed- &gt; 'freddy &gt; '-sayegh</v>
      </c>
      <c r="G6" s="5"/>
    </row>
    <row r="7" ht="15.75" customHeight="1">
      <c r="A7" s="4">
        <v>45936.56659219907</v>
      </c>
      <c r="B7" s="4">
        <v>45932.43803240741</v>
      </c>
      <c r="C7" s="5" t="s">
        <v>10</v>
      </c>
      <c r="D7" s="6" t="str">
        <f t="shared" si="2"/>
        <v>Re: NOTICE OF EX PARTE HEARING – Tomorrow 10/03/2025 at 8:30 a.m. – Dept. L (Pasadena) – Sayegh v. Sayegh (25PDFL01441)</v>
      </c>
      <c r="E7" s="6" t="str">
        <f>HYPERLINK("https://drive.google.com/file/d/1IEe5-HjDf27nMF9C5QPUlx5wLZESXwPH/view", "Re NOTICE OF EX PARTE HEARING – Tomorrow 10032025 at 830 a.m. – Dept. L (Pasadena) – Sayegh v. Sayegh (25PDFL01441).pdf")</f>
        <v>Re NOTICE OF EX PARTE HEARING – Tomorrow 10032025 at 830 a.m. – Dept. L (Pasadena) – Sayegh v. Sayegh (25PDFL01441).pdf</v>
      </c>
      <c r="F7" s="6" t="str">
        <f t="shared" si="1"/>
        <v>My Drive &gt; SVS &gt; emails &gt; Users &gt; ericjones &gt; Library &gt; CloudStorage &gt; GoogleDrive-eric@recovery-compass.org &gt; My &gt; Drive &gt; SVS &gt; emails &gt; fahed- &gt; 'freddy &gt; '-sayegh</v>
      </c>
      <c r="G7" s="5"/>
    </row>
    <row r="8" ht="15.75" customHeight="1">
      <c r="A8" s="4">
        <v>45936.56649835648</v>
      </c>
      <c r="B8" s="4">
        <v>45932.43710648148</v>
      </c>
      <c r="C8" s="5" t="s">
        <v>10</v>
      </c>
      <c r="D8" s="6" t="str">
        <f>HYPERLINK("https://mail.google.com/mail?extsrc=sync&amp;client=docs&amp;plid=ACUX6DO_P8KR5Ox8nE2SS5dy6yE2SdfYUivRvds", "Re: NOTICE OF EX PARTE HEARING – Tomorrow 10/03/2025 at 8:30 a.m. – Dept. L (Pasadena) – Sayegh v. Sayegh (25PDFL01441) #1/5")</f>
        <v>Re: NOTICE OF EX PARTE HEARING – Tomorrow 10/03/2025 at 8:30 a.m. – Dept. L (Pasadena) – Sayegh v. Sayegh (25PDFL01441) #1/5</v>
      </c>
      <c r="E8" s="6" t="str">
        <f>HYPERLINK("https://drive.google.com/file/d/1stW_B5PxIe8cxNMsgZU1PVoE0qIAySxy/view", "Adobe Scan Oct 2, 2025.pdf")</f>
        <v>Adobe Scan Oct 2, 2025.pdf</v>
      </c>
      <c r="F8" s="6" t="str">
        <f t="shared" si="1"/>
        <v>My Drive &gt; SVS &gt; emails &gt; Users &gt; ericjones &gt; Library &gt; CloudStorage &gt; GoogleDrive-eric@recovery-compass.org &gt; My &gt; Drive &gt; SVS &gt; emails &gt; fahed- &gt; 'freddy &gt; '-sayegh</v>
      </c>
      <c r="G8" s="5"/>
    </row>
    <row r="9" ht="15.75" customHeight="1">
      <c r="A9" s="4">
        <v>45936.566498368054</v>
      </c>
      <c r="B9" s="4">
        <v>45932.43710648148</v>
      </c>
      <c r="C9" s="5" t="s">
        <v>10</v>
      </c>
      <c r="D9" s="6" t="str">
        <f>HYPERLINK("https://mail.google.com/mail?extsrc=sync&amp;client=docs&amp;plid=ACUX6DO_P8KR5Ox8nE2SS5dy6yE2SdfYUivRvds", "Re: NOTICE OF EX PARTE HEARING – Tomorrow 10/03/2025 at 8:30 a.m. – Dept. L (Pasadena) – Sayegh v. Sayegh (25PDFL01441) #2/5")</f>
        <v>Re: NOTICE OF EX PARTE HEARING – Tomorrow 10/03/2025 at 8:30 a.m. – Dept. L (Pasadena) – Sayegh v. Sayegh (25PDFL01441) #2/5</v>
      </c>
      <c r="E9" s="6" t="str">
        <f>HYPERLINK("https://drive.google.com/file/d/1w-HBYNuCe4ZlmiA0b7JF4Xztc4Fw5vJJ/view", "pos.pdf")</f>
        <v>pos.pdf</v>
      </c>
      <c r="F9" s="6" t="str">
        <f t="shared" si="1"/>
        <v>My Drive &gt; SVS &gt; emails &gt; Users &gt; ericjones &gt; Library &gt; CloudStorage &gt; GoogleDrive-eric@recovery-compass.org &gt; My &gt; Drive &gt; SVS &gt; emails &gt; fahed- &gt; 'freddy &gt; '-sayegh</v>
      </c>
      <c r="G9" s="5"/>
    </row>
    <row r="10" ht="15.75" customHeight="1">
      <c r="A10" s="4">
        <v>45936.56649837963</v>
      </c>
      <c r="B10" s="4">
        <v>45932.43710648148</v>
      </c>
      <c r="C10" s="5" t="s">
        <v>10</v>
      </c>
      <c r="D10" s="6" t="str">
        <f>HYPERLINK("https://mail.google.com/mail?extsrc=sync&amp;client=docs&amp;plid=ACUX6DO_P8KR5Ox8nE2SS5dy6yE2SdfYUivRvds", "Re: NOTICE OF EX PARTE HEARING – Tomorrow 10/03/2025 at 8:30 a.m. – Dept. L (Pasadena) – Sayegh v. Sayegh (25PDFL01441) #3/5")</f>
        <v>Re: NOTICE OF EX PARTE HEARING – Tomorrow 10/03/2025 at 8:30 a.m. – Dept. L (Pasadena) – Sayegh v. Sayegh (25PDFL01441) #3/5</v>
      </c>
      <c r="E10" s="6" t="str">
        <f>HYPERLINK("https://drive.google.com/file/d/1Jv8NzGMhRql8qVBrfgpziebTYPRfpRiW/view", "fl 303 sayegh.pdf")</f>
        <v>fl 303 sayegh.pdf</v>
      </c>
      <c r="F10" s="6" t="str">
        <f t="shared" si="1"/>
        <v>My Drive &gt; SVS &gt; emails &gt; Users &gt; ericjones &gt; Library &gt; CloudStorage &gt; GoogleDrive-eric@recovery-compass.org &gt; My &gt; Drive &gt; SVS &gt; emails &gt; fahed- &gt; 'freddy &gt; '-sayegh</v>
      </c>
      <c r="G10" s="5"/>
    </row>
    <row r="11" ht="15.75" customHeight="1">
      <c r="A11" s="4">
        <v>45936.56649840278</v>
      </c>
      <c r="B11" s="4">
        <v>45932.43710648148</v>
      </c>
      <c r="C11" s="5" t="s">
        <v>10</v>
      </c>
      <c r="D11" s="6" t="str">
        <f>HYPERLINK("https://mail.google.com/mail?extsrc=sync&amp;client=docs&amp;plid=ACUX6DO_P8KR5Ox8nE2SS5dy6yE2SdfYUivRvds", "Re: NOTICE OF EX PARTE HEARING – Tomorrow 10/03/2025 at 8:30 a.m. – Dept. L (Pasadena) – Sayegh v. Sayegh (25PDFL01441) #4/5")</f>
        <v>Re: NOTICE OF EX PARTE HEARING – Tomorrow 10/03/2025 at 8:30 a.m. – Dept. L (Pasadena) – Sayegh v. Sayegh (25PDFL01441) #4/5</v>
      </c>
      <c r="E11" s="6" t="str">
        <f>HYPERLINK("https://drive.google.com/file/d/1ifXNnxnSxThHbchVjKxNxdMmGcrH35r_/view", "fl 300 sayegh v sayegh.pdf")</f>
        <v>fl 300 sayegh v sayegh.pdf</v>
      </c>
      <c r="F11" s="6" t="str">
        <f t="shared" si="1"/>
        <v>My Drive &gt; SVS &gt; emails &gt; Users &gt; ericjones &gt; Library &gt; CloudStorage &gt; GoogleDrive-eric@recovery-compass.org &gt; My &gt; Drive &gt; SVS &gt; emails &gt; fahed- &gt; 'freddy &gt; '-sayegh</v>
      </c>
      <c r="G11" s="5"/>
    </row>
    <row r="12" ht="15.75" customHeight="1">
      <c r="A12" s="4">
        <v>45936.56649842593</v>
      </c>
      <c r="B12" s="4">
        <v>45932.43710648148</v>
      </c>
      <c r="C12" s="5" t="s">
        <v>10</v>
      </c>
      <c r="D12" s="6" t="str">
        <f>HYPERLINK("https://mail.google.com/mail?extsrc=sync&amp;client=docs&amp;plid=ACUX6DO_P8KR5Ox8nE2SS5dy6yE2SdfYUivRvds", "Re: NOTICE OF EX PARTE HEARING – Tomorrow 10/03/2025 at 8:30 a.m. – Dept. L (Pasadena) – Sayegh v. Sayegh (25PDFL01441) #5/5")</f>
        <v>Re: NOTICE OF EX PARTE HEARING – Tomorrow 10/03/2025 at 8:30 a.m. – Dept. L (Pasadena) – Sayegh v. Sayegh (25PDFL01441) #5/5</v>
      </c>
      <c r="E12" s="6" t="str">
        <f>HYPERLINK("https://drive.google.com/file/d/1DdAoztaX9HJerXIbHGw4AL2kvSiv8puD/view", "Decl Fahed Sayegh.pdf")</f>
        <v>Decl Fahed Sayegh.pdf</v>
      </c>
      <c r="F12" s="6" t="str">
        <f t="shared" si="1"/>
        <v>My Drive &gt; SVS &gt; emails &gt; Users &gt; ericjones &gt; Library &gt; CloudStorage &gt; GoogleDrive-eric@recovery-compass.org &gt; My &gt; Drive &gt; SVS &gt; emails &gt; fahed- &gt; 'freddy &gt; '-sayegh</v>
      </c>
      <c r="G12" s="5"/>
    </row>
    <row r="13" ht="15.75" customHeight="1">
      <c r="A13" s="4">
        <v>45936.56653182871</v>
      </c>
      <c r="B13" s="4">
        <v>45932.43710648148</v>
      </c>
      <c r="C13" s="5" t="s">
        <v>10</v>
      </c>
      <c r="D13" s="6" t="str">
        <f>HYPERLINK("https://mail.google.com/mail?extsrc=sync&amp;client=docs&amp;plid=ACUX6DO_P8KR5Ox8nE2SS5dy6yE2SdfYUivRvds", "Re: NOTICE OF EX PARTE HEARING – Tomorrow 10/03/2025 at 8:30 a.m. – Dept. L (Pasadena) – Sayegh v. Sayegh (25PDFL01441)")</f>
        <v>Re: NOTICE OF EX PARTE HEARING – Tomorrow 10/03/2025 at 8:30 a.m. – Dept. L (Pasadena) – Sayegh v. Sayegh (25PDFL01441)</v>
      </c>
      <c r="E13" s="6" t="str">
        <f>HYPERLINK("https://drive.google.com/file/d/1S35xjpgaQO8ADfkZdjY7HKQHmsK1zXXp/view", "Re NOTICE OF EX PARTE HEARING – Tomorrow 10032025 at 830 a.m. – Dept. L (Pasadena) – Sayegh v. Sayegh (25PDFL01441).pdf")</f>
        <v>Re NOTICE OF EX PARTE HEARING – Tomorrow 10032025 at 830 a.m. – Dept. L (Pasadena) – Sayegh v. Sayegh (25PDFL01441).pdf</v>
      </c>
      <c r="F13" s="6" t="str">
        <f t="shared" si="1"/>
        <v>My Drive &gt; SVS &gt; emails &gt; Users &gt; ericjones &gt; Library &gt; CloudStorage &gt; GoogleDrive-eric@recovery-compass.org &gt; My &gt; Drive &gt; SVS &gt; emails &gt; fahed- &gt; 'freddy &gt; '-sayegh</v>
      </c>
      <c r="G13" s="5"/>
    </row>
    <row r="14" ht="15.75" customHeight="1">
      <c r="A14" s="4">
        <v>45936.56631354167</v>
      </c>
      <c r="B14" s="4">
        <v>45923.55011574074</v>
      </c>
      <c r="C14" s="5" t="s">
        <v>10</v>
      </c>
      <c r="D14" s="6" t="str">
        <f>HYPERLINK("https://mail.google.com/mail?extsrc=sync&amp;client=docs&amp;plid=ACUX6DOSxXj4owBbOEGfWqbfsxqrnC9co04sQtI", "Additional Toll Evasions- Please Pay #1/2")</f>
        <v>Additional Toll Evasions- Please Pay #1/2</v>
      </c>
      <c r="E14" s="6" t="str">
        <f>HYPERLINK("https://drive.google.com/file/d/1ohAE431IydLmeUXXfRhzAN8csk-F0c9V/view", "IMG_0551.jpeg")</f>
        <v>IMG_0551.jpeg</v>
      </c>
      <c r="F14" s="6" t="str">
        <f t="shared" si="1"/>
        <v>My Drive &gt; SVS &gt; emails &gt; Users &gt; ericjones &gt; Library &gt; CloudStorage &gt; GoogleDrive-eric@recovery-compass.org &gt; My &gt; Drive &gt; SVS &gt; emails &gt; fahed- &gt; 'freddy &gt; '-sayegh</v>
      </c>
      <c r="G14" s="5"/>
    </row>
    <row r="15" ht="15.75" customHeight="1">
      <c r="A15" s="4">
        <v>45936.566313564814</v>
      </c>
      <c r="B15" s="4">
        <v>45923.55011574074</v>
      </c>
      <c r="C15" s="5" t="s">
        <v>10</v>
      </c>
      <c r="D15" s="6" t="str">
        <f>HYPERLINK("https://mail.google.com/mail?extsrc=sync&amp;client=docs&amp;plid=ACUX6DOSxXj4owBbOEGfWqbfsxqrnC9co04sQtI", "Additional Toll Evasions- Please Pay #2/2")</f>
        <v>Additional Toll Evasions- Please Pay #2/2</v>
      </c>
      <c r="E15" s="6" t="str">
        <f>HYPERLINK("https://drive.google.com/file/d/1Bc4dKJbu_6bFVgJs_I6R5zyZAzFVw4TX/view", "IMG_0550.jpeg")</f>
        <v>IMG_0550.jpeg</v>
      </c>
      <c r="F15" s="6" t="str">
        <f t="shared" si="1"/>
        <v>My Drive &gt; SVS &gt; emails &gt; Users &gt; ericjones &gt; Library &gt; CloudStorage &gt; GoogleDrive-eric@recovery-compass.org &gt; My &gt; Drive &gt; SVS &gt; emails &gt; fahed- &gt; 'freddy &gt; '-sayegh</v>
      </c>
      <c r="G15" s="5"/>
    </row>
    <row r="16" ht="15.75" customHeight="1">
      <c r="A16" s="4">
        <v>45936.56634913194</v>
      </c>
      <c r="B16" s="4">
        <v>45923.55011574074</v>
      </c>
      <c r="C16" s="5" t="s">
        <v>10</v>
      </c>
      <c r="D16" s="6" t="str">
        <f>HYPERLINK("https://mail.google.com/mail?extsrc=sync&amp;client=docs&amp;plid=ACUX6DOSxXj4owBbOEGfWqbfsxqrnC9co04sQtI", "Additional Toll Evasions- Please Pay")</f>
        <v>Additional Toll Evasions- Please Pay</v>
      </c>
      <c r="E16" s="6" t="str">
        <f>HYPERLINK("https://drive.google.com/file/d/1WPKtQu1C10noU5xRp85jFO0jxJief27F/view", "Additional Toll Evasions- Please Pay.pdf")</f>
        <v>Additional Toll Evasions- Please Pay.pdf</v>
      </c>
      <c r="F16" s="6" t="str">
        <f t="shared" si="1"/>
        <v>My Drive &gt; SVS &gt; emails &gt; Users &gt; ericjones &gt; Library &gt; CloudStorage &gt; GoogleDrive-eric@recovery-compass.org &gt; My &gt; Drive &gt; SVS &gt; emails &gt; fahed- &gt; 'freddy &gt; '-sayegh</v>
      </c>
      <c r="G16" s="5"/>
    </row>
    <row r="17" ht="15.75" customHeight="1">
      <c r="A17" s="4"/>
      <c r="B17" s="4"/>
      <c r="C17" s="5"/>
      <c r="D17" s="5"/>
      <c r="E17" s="5"/>
      <c r="F17" s="5"/>
      <c r="G17" s="5"/>
    </row>
    <row r="18" ht="15.75" customHeight="1">
      <c r="A18" s="4"/>
      <c r="B18" s="4"/>
      <c r="C18" s="5"/>
      <c r="D18" s="5"/>
      <c r="E18" s="5"/>
      <c r="F18" s="5"/>
      <c r="G18" s="5"/>
    </row>
    <row r="19" ht="15.75" customHeight="1">
      <c r="A19" s="4"/>
      <c r="B19" s="4"/>
      <c r="C19" s="5"/>
      <c r="D19" s="5"/>
      <c r="E19" s="5"/>
      <c r="F19" s="5"/>
      <c r="G19" s="5"/>
    </row>
    <row r="20" ht="15.75" customHeight="1">
      <c r="A20" s="4"/>
      <c r="B20" s="4"/>
      <c r="C20" s="5"/>
      <c r="D20" s="5"/>
      <c r="E20" s="5"/>
      <c r="F20" s="5"/>
      <c r="G20" s="5"/>
    </row>
    <row r="21" ht="15.75" customHeight="1">
      <c r="A21" s="4"/>
      <c r="B21" s="4"/>
      <c r="C21" s="5"/>
      <c r="D21" s="5"/>
      <c r="E21" s="5"/>
      <c r="F21" s="5"/>
      <c r="G21" s="5"/>
    </row>
    <row r="22" ht="15.75" customHeight="1">
      <c r="A22" s="4"/>
      <c r="B22" s="4"/>
      <c r="C22" s="5"/>
      <c r="D22" s="5"/>
      <c r="E22" s="5"/>
      <c r="F22" s="5"/>
      <c r="G22" s="5"/>
    </row>
    <row r="23" ht="15.75" customHeight="1">
      <c r="A23" s="4"/>
      <c r="B23" s="4"/>
      <c r="C23" s="5"/>
      <c r="D23" s="5"/>
      <c r="E23" s="5"/>
      <c r="F23" s="5"/>
      <c r="G23" s="5"/>
    </row>
    <row r="24" ht="15.75" customHeight="1">
      <c r="A24" s="4"/>
      <c r="B24" s="4"/>
      <c r="C24" s="5"/>
      <c r="D24" s="5"/>
      <c r="E24" s="5"/>
      <c r="F24" s="5"/>
      <c r="G24" s="5"/>
    </row>
    <row r="25" ht="15.75" customHeight="1">
      <c r="A25" s="4"/>
      <c r="B25" s="4"/>
      <c r="C25" s="5"/>
      <c r="D25" s="5"/>
      <c r="E25" s="5"/>
      <c r="F25" s="5"/>
      <c r="G25" s="5"/>
    </row>
    <row r="26" ht="15.75" customHeight="1">
      <c r="A26" s="4"/>
      <c r="B26" s="4"/>
      <c r="C26" s="5"/>
      <c r="D26" s="5"/>
      <c r="E26" s="5"/>
      <c r="F26" s="5"/>
      <c r="G26" s="5"/>
    </row>
    <row r="27" ht="15.75" customHeight="1">
      <c r="A27" s="4"/>
      <c r="B27" s="4"/>
      <c r="C27" s="5"/>
      <c r="D27" s="5"/>
      <c r="E27" s="5"/>
      <c r="F27" s="5"/>
      <c r="G27" s="5"/>
    </row>
    <row r="28" ht="15.75" customHeight="1">
      <c r="A28" s="4"/>
      <c r="B28" s="4"/>
      <c r="C28" s="5"/>
      <c r="D28" s="5"/>
      <c r="E28" s="5"/>
      <c r="F28" s="5"/>
      <c r="G28" s="5"/>
    </row>
    <row r="29" ht="15.75" customHeight="1">
      <c r="A29" s="4"/>
      <c r="B29" s="4"/>
      <c r="C29" s="5"/>
      <c r="D29" s="5"/>
      <c r="E29" s="5"/>
      <c r="F29" s="5"/>
      <c r="G29" s="5"/>
    </row>
    <row r="30" ht="15.75" customHeight="1">
      <c r="A30" s="4"/>
      <c r="B30" s="4"/>
      <c r="C30" s="5"/>
      <c r="D30" s="5"/>
      <c r="E30" s="5"/>
      <c r="F30" s="5"/>
      <c r="G30" s="5"/>
    </row>
    <row r="31" ht="15.75" customHeight="1">
      <c r="A31" s="4"/>
      <c r="B31" s="4"/>
      <c r="C31" s="5"/>
      <c r="D31" s="5"/>
      <c r="E31" s="5"/>
      <c r="F31" s="5"/>
      <c r="G31" s="5"/>
    </row>
    <row r="32" ht="15.75" customHeight="1">
      <c r="A32" s="4"/>
      <c r="B32" s="4"/>
      <c r="C32" s="5"/>
      <c r="D32" s="5"/>
      <c r="E32" s="5"/>
      <c r="F32" s="5"/>
      <c r="G32" s="5"/>
    </row>
    <row r="33" ht="15.75" customHeight="1">
      <c r="A33" s="4"/>
      <c r="B33" s="4"/>
      <c r="C33" s="5"/>
      <c r="D33" s="5"/>
      <c r="E33" s="5"/>
      <c r="F33" s="5"/>
      <c r="G33" s="5"/>
    </row>
    <row r="34" ht="15.75" customHeight="1">
      <c r="A34" s="4"/>
      <c r="B34" s="4"/>
      <c r="C34" s="5"/>
      <c r="D34" s="5"/>
      <c r="E34" s="5"/>
      <c r="F34" s="5"/>
      <c r="G34" s="5"/>
    </row>
    <row r="35" ht="15.75" customHeight="1">
      <c r="A35" s="4"/>
      <c r="B35" s="4"/>
      <c r="C35" s="5"/>
      <c r="D35" s="5"/>
      <c r="E35" s="5"/>
      <c r="F35" s="5"/>
      <c r="G35" s="5"/>
    </row>
    <row r="36" ht="15.75" customHeight="1">
      <c r="A36" s="4"/>
      <c r="B36" s="4"/>
      <c r="C36" s="5"/>
      <c r="D36" s="5"/>
      <c r="E36" s="5"/>
      <c r="F36" s="5"/>
      <c r="G36" s="5"/>
    </row>
    <row r="37" ht="15.75" customHeight="1">
      <c r="A37" s="4"/>
      <c r="B37" s="4"/>
      <c r="C37" s="5"/>
      <c r="D37" s="5"/>
      <c r="E37" s="5"/>
      <c r="F37" s="5"/>
      <c r="G37" s="5"/>
    </row>
    <row r="38" ht="15.75" customHeight="1">
      <c r="A38" s="4"/>
      <c r="B38" s="4"/>
      <c r="C38" s="5"/>
      <c r="D38" s="5"/>
      <c r="E38" s="5"/>
      <c r="F38" s="5"/>
      <c r="G38" s="5"/>
    </row>
    <row r="39" ht="15.75" customHeight="1">
      <c r="A39" s="4"/>
      <c r="B39" s="4"/>
      <c r="C39" s="5"/>
      <c r="D39" s="5"/>
      <c r="E39" s="5"/>
      <c r="F39" s="5"/>
      <c r="G39" s="5"/>
    </row>
    <row r="40" ht="15.75" customHeight="1">
      <c r="A40" s="4"/>
      <c r="B40" s="4"/>
      <c r="C40" s="5"/>
      <c r="D40" s="5"/>
      <c r="E40" s="5"/>
      <c r="F40" s="5"/>
      <c r="G40" s="5"/>
    </row>
    <row r="41" ht="15.75" customHeight="1">
      <c r="A41" s="4"/>
      <c r="B41" s="4"/>
      <c r="C41" s="5"/>
      <c r="D41" s="5"/>
      <c r="E41" s="5"/>
      <c r="F41" s="5"/>
      <c r="G41" s="5"/>
    </row>
    <row r="42" ht="15.75" customHeight="1">
      <c r="A42" s="4"/>
      <c r="B42" s="4"/>
      <c r="C42" s="5"/>
      <c r="D42" s="5"/>
      <c r="E42" s="5"/>
      <c r="F42" s="5"/>
      <c r="G42" s="5"/>
    </row>
    <row r="43" ht="15.75" customHeight="1">
      <c r="A43" s="4"/>
      <c r="B43" s="4"/>
      <c r="C43" s="5"/>
      <c r="D43" s="5"/>
      <c r="E43" s="5"/>
      <c r="F43" s="5"/>
      <c r="G43" s="5"/>
    </row>
    <row r="44" ht="15.75" customHeight="1">
      <c r="A44" s="4"/>
      <c r="B44" s="4"/>
      <c r="C44" s="5"/>
      <c r="D44" s="5"/>
      <c r="E44" s="5"/>
      <c r="F44" s="5"/>
      <c r="G44" s="5"/>
    </row>
    <row r="45" ht="15.75" customHeight="1">
      <c r="A45" s="4"/>
      <c r="B45" s="4"/>
      <c r="C45" s="5"/>
      <c r="D45" s="5"/>
      <c r="E45" s="5"/>
      <c r="F45" s="5"/>
      <c r="G45" s="5"/>
    </row>
    <row r="46" ht="15.75" customHeight="1">
      <c r="A46" s="4"/>
      <c r="B46" s="4"/>
      <c r="C46" s="5"/>
      <c r="D46" s="5"/>
      <c r="E46" s="5"/>
      <c r="F46" s="5"/>
      <c r="G46" s="5"/>
    </row>
    <row r="47" ht="15.75" customHeight="1">
      <c r="A47" s="4"/>
      <c r="B47" s="4"/>
      <c r="C47" s="5"/>
      <c r="D47" s="5"/>
      <c r="E47" s="5"/>
      <c r="F47" s="5"/>
      <c r="G47" s="5"/>
    </row>
    <row r="48" ht="15.75" customHeight="1">
      <c r="A48" s="4"/>
      <c r="B48" s="4"/>
      <c r="C48" s="5"/>
      <c r="D48" s="5"/>
      <c r="E48" s="5"/>
      <c r="F48" s="5"/>
      <c r="G48" s="5"/>
    </row>
    <row r="49" ht="15.75" customHeight="1">
      <c r="A49" s="4"/>
      <c r="B49" s="4"/>
      <c r="C49" s="5"/>
      <c r="D49" s="5"/>
      <c r="E49" s="5"/>
      <c r="F49" s="5"/>
      <c r="G49" s="5"/>
    </row>
    <row r="50" ht="15.75" customHeight="1">
      <c r="A50" s="4"/>
      <c r="B50" s="4"/>
      <c r="C50" s="5"/>
      <c r="D50" s="5"/>
      <c r="E50" s="5"/>
      <c r="F50" s="5"/>
      <c r="G50" s="5"/>
    </row>
    <row r="51" ht="15.75" customHeight="1">
      <c r="A51" s="4"/>
      <c r="B51" s="4"/>
      <c r="C51" s="5"/>
      <c r="D51" s="5"/>
      <c r="E51" s="5"/>
      <c r="F51" s="5"/>
      <c r="G51" s="5"/>
    </row>
    <row r="52" ht="15.75" customHeight="1">
      <c r="A52" s="4"/>
      <c r="B52" s="4"/>
      <c r="C52" s="5"/>
      <c r="D52" s="5"/>
      <c r="E52" s="5"/>
      <c r="F52" s="5"/>
      <c r="G52" s="5"/>
    </row>
    <row r="53" ht="15.75" customHeight="1">
      <c r="A53" s="4"/>
      <c r="B53" s="4"/>
      <c r="C53" s="5"/>
      <c r="D53" s="5"/>
      <c r="E53" s="5"/>
      <c r="F53" s="5"/>
      <c r="G53" s="5"/>
    </row>
    <row r="54" ht="15.75" customHeight="1">
      <c r="A54" s="4"/>
      <c r="B54" s="4"/>
      <c r="C54" s="5"/>
      <c r="D54" s="5"/>
      <c r="E54" s="5"/>
      <c r="F54" s="5"/>
      <c r="G54" s="5"/>
    </row>
    <row r="55" ht="15.75" customHeight="1">
      <c r="A55" s="4"/>
      <c r="B55" s="4"/>
      <c r="C55" s="5"/>
      <c r="D55" s="5"/>
      <c r="E55" s="5"/>
      <c r="F55" s="5"/>
      <c r="G55" s="5"/>
    </row>
    <row r="56" ht="15.75" customHeight="1">
      <c r="A56" s="4"/>
      <c r="B56" s="4"/>
      <c r="C56" s="5"/>
      <c r="D56" s="5"/>
      <c r="E56" s="5"/>
      <c r="F56" s="5"/>
      <c r="G56" s="5"/>
    </row>
    <row r="57" ht="15.75" customHeight="1">
      <c r="A57" s="4"/>
      <c r="B57" s="4"/>
      <c r="C57" s="5"/>
      <c r="D57" s="5"/>
      <c r="E57" s="5"/>
      <c r="F57" s="5"/>
      <c r="G57" s="5"/>
    </row>
    <row r="58" ht="15.75" customHeight="1">
      <c r="A58" s="4"/>
      <c r="B58" s="4"/>
      <c r="C58" s="5"/>
      <c r="D58" s="5"/>
      <c r="E58" s="5"/>
      <c r="F58" s="5"/>
      <c r="G58" s="5"/>
    </row>
    <row r="59" ht="15.75" customHeight="1">
      <c r="A59" s="4"/>
      <c r="B59" s="4"/>
      <c r="C59" s="5"/>
      <c r="D59" s="5"/>
      <c r="E59" s="5"/>
      <c r="F59" s="5"/>
      <c r="G59" s="5"/>
    </row>
    <row r="60" ht="15.75" customHeight="1">
      <c r="A60" s="4"/>
      <c r="B60" s="4"/>
      <c r="C60" s="5"/>
      <c r="D60" s="5"/>
      <c r="E60" s="5"/>
      <c r="F60" s="5"/>
      <c r="G60" s="5"/>
    </row>
    <row r="61" ht="15.75" customHeight="1">
      <c r="A61" s="4"/>
      <c r="B61" s="4"/>
      <c r="C61" s="5"/>
      <c r="D61" s="5"/>
      <c r="E61" s="5"/>
      <c r="F61" s="5"/>
      <c r="G61" s="5"/>
    </row>
    <row r="62" ht="15.75" customHeight="1">
      <c r="A62" s="4"/>
      <c r="B62" s="4"/>
      <c r="C62" s="5"/>
      <c r="D62" s="5"/>
      <c r="E62" s="5"/>
      <c r="F62" s="5"/>
      <c r="G62" s="5"/>
    </row>
    <row r="63" ht="15.75" customHeight="1">
      <c r="A63" s="4"/>
      <c r="B63" s="4"/>
      <c r="C63" s="5"/>
      <c r="D63" s="5"/>
      <c r="E63" s="5"/>
      <c r="F63" s="5"/>
      <c r="G63" s="5"/>
    </row>
    <row r="64" ht="15.75" customHeight="1">
      <c r="A64" s="4"/>
      <c r="B64" s="4"/>
      <c r="C64" s="5"/>
      <c r="D64" s="5"/>
      <c r="E64" s="5"/>
      <c r="F64" s="5"/>
      <c r="G64" s="5"/>
    </row>
    <row r="65" ht="15.75" customHeight="1">
      <c r="A65" s="4"/>
      <c r="B65" s="4"/>
      <c r="C65" s="5"/>
      <c r="D65" s="5"/>
      <c r="E65" s="5"/>
      <c r="F65" s="5"/>
      <c r="G65" s="5"/>
    </row>
    <row r="66" ht="15.75" customHeight="1">
      <c r="A66" s="4"/>
      <c r="B66" s="4"/>
      <c r="C66" s="5"/>
      <c r="D66" s="5"/>
      <c r="E66" s="5"/>
      <c r="F66" s="5"/>
      <c r="G66" s="5"/>
    </row>
    <row r="67" ht="15.75" customHeight="1">
      <c r="A67" s="4"/>
      <c r="B67" s="4"/>
      <c r="C67" s="5"/>
      <c r="D67" s="5"/>
      <c r="E67" s="5"/>
      <c r="F67" s="5"/>
      <c r="G67" s="5"/>
    </row>
    <row r="68" ht="15.75" customHeight="1">
      <c r="A68" s="4"/>
      <c r="B68" s="4"/>
      <c r="C68" s="5"/>
      <c r="D68" s="5"/>
      <c r="E68" s="5"/>
      <c r="F68" s="5"/>
      <c r="G68" s="5"/>
    </row>
    <row r="69" ht="15.75" customHeight="1">
      <c r="A69" s="4"/>
      <c r="B69" s="4"/>
      <c r="C69" s="5"/>
      <c r="D69" s="5"/>
      <c r="E69" s="5"/>
      <c r="F69" s="5"/>
      <c r="G69" s="5"/>
    </row>
    <row r="70" ht="15.75" customHeight="1">
      <c r="A70" s="4"/>
      <c r="B70" s="4"/>
      <c r="C70" s="5"/>
      <c r="D70" s="5"/>
      <c r="E70" s="5"/>
      <c r="F70" s="5"/>
      <c r="G70" s="5"/>
    </row>
    <row r="71" ht="15.75" customHeight="1">
      <c r="A71" s="4"/>
      <c r="B71" s="4"/>
      <c r="C71" s="5"/>
      <c r="D71" s="5"/>
      <c r="E71" s="5"/>
      <c r="F71" s="5"/>
      <c r="G71" s="5"/>
    </row>
    <row r="72" ht="15.75" customHeight="1">
      <c r="A72" s="4"/>
      <c r="B72" s="4"/>
      <c r="C72" s="5"/>
      <c r="D72" s="5"/>
      <c r="E72" s="5"/>
      <c r="F72" s="5"/>
      <c r="G72" s="5"/>
    </row>
    <row r="73" ht="15.75" customHeight="1">
      <c r="A73" s="4"/>
      <c r="B73" s="4"/>
      <c r="C73" s="5"/>
      <c r="D73" s="5"/>
      <c r="E73" s="5"/>
      <c r="F73" s="5"/>
      <c r="G73" s="5"/>
    </row>
    <row r="74" ht="15.75" customHeight="1">
      <c r="A74" s="4"/>
      <c r="B74" s="4"/>
      <c r="C74" s="5"/>
      <c r="D74" s="5"/>
      <c r="E74" s="5"/>
      <c r="F74" s="5"/>
      <c r="G74" s="5"/>
    </row>
    <row r="75" ht="15.75" customHeight="1">
      <c r="A75" s="4"/>
      <c r="B75" s="4"/>
      <c r="C75" s="5"/>
      <c r="D75" s="5"/>
      <c r="E75" s="5"/>
      <c r="F75" s="5"/>
      <c r="G75" s="5"/>
    </row>
    <row r="76" ht="15.75" customHeight="1">
      <c r="A76" s="4"/>
      <c r="B76" s="4"/>
      <c r="C76" s="5"/>
      <c r="D76" s="5"/>
      <c r="E76" s="5"/>
      <c r="F76" s="5"/>
      <c r="G76" s="5"/>
    </row>
    <row r="77" ht="15.75" customHeight="1">
      <c r="A77" s="4"/>
      <c r="B77" s="4"/>
      <c r="C77" s="5"/>
      <c r="D77" s="5"/>
      <c r="E77" s="5"/>
      <c r="F77" s="5"/>
      <c r="G77" s="5"/>
    </row>
    <row r="78" ht="15.75" customHeight="1">
      <c r="A78" s="4"/>
      <c r="B78" s="4"/>
      <c r="C78" s="5"/>
      <c r="D78" s="5"/>
      <c r="E78" s="5"/>
      <c r="F78" s="5"/>
      <c r="G78" s="5"/>
    </row>
    <row r="79" ht="15.75" customHeight="1">
      <c r="A79" s="4"/>
      <c r="B79" s="4"/>
      <c r="C79" s="5"/>
      <c r="D79" s="5"/>
      <c r="E79" s="5"/>
      <c r="F79" s="5"/>
      <c r="G79" s="5"/>
    </row>
    <row r="80" ht="15.75" customHeight="1">
      <c r="A80" s="4"/>
      <c r="B80" s="4"/>
      <c r="C80" s="5"/>
      <c r="D80" s="5"/>
      <c r="E80" s="5"/>
      <c r="F80" s="5"/>
      <c r="G80" s="5"/>
    </row>
    <row r="81" ht="15.75" customHeight="1">
      <c r="A81" s="4"/>
      <c r="B81" s="4"/>
      <c r="C81" s="5"/>
      <c r="D81" s="5"/>
      <c r="E81" s="5"/>
      <c r="F81" s="5"/>
      <c r="G81" s="5"/>
    </row>
    <row r="82" ht="15.75" customHeight="1">
      <c r="A82" s="4"/>
      <c r="B82" s="4"/>
      <c r="C82" s="5"/>
      <c r="D82" s="5"/>
      <c r="E82" s="5"/>
      <c r="F82" s="5"/>
      <c r="G82" s="5"/>
    </row>
    <row r="83" ht="15.75" customHeight="1">
      <c r="A83" s="4"/>
      <c r="B83" s="4"/>
      <c r="C83" s="5"/>
      <c r="D83" s="5"/>
      <c r="E83" s="5"/>
      <c r="F83" s="5"/>
      <c r="G83" s="5"/>
    </row>
    <row r="84" ht="15.75" customHeight="1">
      <c r="A84" s="4"/>
      <c r="B84" s="4"/>
      <c r="C84" s="5"/>
      <c r="D84" s="5"/>
      <c r="E84" s="5"/>
      <c r="F84" s="5"/>
      <c r="G84" s="5"/>
    </row>
    <row r="85" ht="15.75" customHeight="1">
      <c r="A85" s="4"/>
      <c r="B85" s="4"/>
      <c r="C85" s="5"/>
      <c r="D85" s="5"/>
      <c r="E85" s="5"/>
      <c r="F85" s="5"/>
      <c r="G85" s="5"/>
    </row>
    <row r="86" ht="15.75" customHeight="1">
      <c r="A86" s="4"/>
      <c r="B86" s="4"/>
      <c r="C86" s="5"/>
      <c r="D86" s="5"/>
      <c r="E86" s="5"/>
      <c r="F86" s="5"/>
      <c r="G86" s="5"/>
    </row>
    <row r="87" ht="15.75" customHeight="1">
      <c r="A87" s="4"/>
      <c r="B87" s="4"/>
      <c r="C87" s="5"/>
      <c r="D87" s="5"/>
      <c r="E87" s="5"/>
      <c r="F87" s="5"/>
      <c r="G87" s="5"/>
    </row>
    <row r="88" ht="15.75" customHeight="1">
      <c r="A88" s="4"/>
      <c r="B88" s="4"/>
      <c r="C88" s="5"/>
      <c r="D88" s="5"/>
      <c r="E88" s="5"/>
      <c r="F88" s="5"/>
      <c r="G88" s="5"/>
    </row>
    <row r="89" ht="15.75" customHeight="1">
      <c r="A89" s="4"/>
      <c r="B89" s="4"/>
      <c r="C89" s="5"/>
      <c r="D89" s="5"/>
      <c r="E89" s="5"/>
      <c r="F89" s="5"/>
      <c r="G89" s="5"/>
    </row>
    <row r="90" ht="15.75" customHeight="1">
      <c r="A90" s="4"/>
      <c r="B90" s="4"/>
      <c r="C90" s="5"/>
      <c r="D90" s="5"/>
      <c r="E90" s="5"/>
      <c r="F90" s="5"/>
      <c r="G90" s="5"/>
    </row>
    <row r="91" ht="15.75" customHeight="1">
      <c r="A91" s="4"/>
      <c r="B91" s="4"/>
      <c r="C91" s="5"/>
      <c r="D91" s="5"/>
      <c r="E91" s="5"/>
      <c r="F91" s="5"/>
      <c r="G91" s="5"/>
    </row>
    <row r="92" ht="15.75" customHeight="1">
      <c r="A92" s="4"/>
      <c r="B92" s="4"/>
      <c r="C92" s="5"/>
      <c r="D92" s="5"/>
      <c r="E92" s="5"/>
      <c r="F92" s="5"/>
      <c r="G92" s="5"/>
    </row>
    <row r="93" ht="15.75" customHeight="1">
      <c r="A93" s="4"/>
      <c r="B93" s="4"/>
      <c r="C93" s="5"/>
      <c r="D93" s="5"/>
      <c r="E93" s="5"/>
      <c r="F93" s="5"/>
      <c r="G93" s="5"/>
    </row>
    <row r="94" ht="15.75" customHeight="1">
      <c r="A94" s="4"/>
      <c r="B94" s="4"/>
      <c r="C94" s="5"/>
      <c r="D94" s="5"/>
      <c r="E94" s="5"/>
      <c r="F94" s="5"/>
      <c r="G94" s="5"/>
    </row>
    <row r="95" ht="15.75" customHeight="1">
      <c r="A95" s="4"/>
      <c r="B95" s="4"/>
      <c r="C95" s="5"/>
      <c r="D95" s="5"/>
      <c r="E95" s="5"/>
      <c r="F95" s="5"/>
      <c r="G95" s="5"/>
    </row>
    <row r="96" ht="15.75" customHeight="1">
      <c r="A96" s="4"/>
      <c r="B96" s="4"/>
      <c r="C96" s="5"/>
      <c r="D96" s="5"/>
      <c r="E96" s="5"/>
      <c r="F96" s="5"/>
      <c r="G96" s="5"/>
    </row>
    <row r="97" ht="15.75" customHeight="1">
      <c r="A97" s="4"/>
      <c r="B97" s="4"/>
      <c r="C97" s="5"/>
      <c r="D97" s="5"/>
      <c r="E97" s="5"/>
      <c r="F97" s="5"/>
      <c r="G97" s="5"/>
    </row>
    <row r="98" ht="15.75" customHeight="1">
      <c r="A98" s="4"/>
      <c r="B98" s="4"/>
      <c r="C98" s="5"/>
      <c r="D98" s="5"/>
      <c r="E98" s="5"/>
      <c r="F98" s="5"/>
      <c r="G98" s="5"/>
    </row>
    <row r="99" ht="15.75" customHeight="1">
      <c r="A99" s="4"/>
      <c r="B99" s="4"/>
      <c r="C99" s="5"/>
      <c r="D99" s="5"/>
      <c r="E99" s="5"/>
      <c r="F99" s="5"/>
      <c r="G99" s="5"/>
    </row>
    <row r="100" ht="15.75" customHeight="1">
      <c r="A100" s="4"/>
      <c r="B100" s="4"/>
      <c r="C100" s="5"/>
      <c r="D100" s="5"/>
      <c r="E100" s="5"/>
      <c r="F100" s="5"/>
      <c r="G100" s="5"/>
    </row>
    <row r="101" ht="15.75" customHeight="1">
      <c r="A101" s="4"/>
      <c r="B101" s="4"/>
      <c r="C101" s="5"/>
      <c r="D101" s="5"/>
      <c r="E101" s="5"/>
      <c r="F101" s="5"/>
      <c r="G101" s="5"/>
    </row>
    <row r="102" ht="15.75" customHeight="1">
      <c r="A102" s="4"/>
      <c r="B102" s="4"/>
      <c r="C102" s="5"/>
      <c r="D102" s="5"/>
      <c r="E102" s="5"/>
      <c r="F102" s="5"/>
      <c r="G102" s="5"/>
    </row>
    <row r="103" ht="15.75" customHeight="1">
      <c r="A103" s="4"/>
      <c r="B103" s="4"/>
      <c r="C103" s="5"/>
      <c r="D103" s="5"/>
      <c r="E103" s="5"/>
      <c r="F103" s="5"/>
      <c r="G103" s="5"/>
    </row>
    <row r="104" ht="15.75" customHeight="1">
      <c r="A104" s="4"/>
      <c r="B104" s="4"/>
      <c r="C104" s="5"/>
      <c r="D104" s="5"/>
      <c r="E104" s="5"/>
      <c r="F104" s="5"/>
      <c r="G104" s="5"/>
    </row>
    <row r="105" ht="15.75" customHeight="1">
      <c r="A105" s="4"/>
      <c r="B105" s="4"/>
      <c r="C105" s="5"/>
      <c r="D105" s="5"/>
      <c r="E105" s="5"/>
      <c r="F105" s="5"/>
      <c r="G105" s="5"/>
    </row>
    <row r="106" ht="15.75" customHeight="1">
      <c r="A106" s="4"/>
      <c r="B106" s="4"/>
      <c r="C106" s="5"/>
      <c r="D106" s="5"/>
      <c r="E106" s="5"/>
      <c r="F106" s="5"/>
      <c r="G106" s="5"/>
    </row>
    <row r="107" ht="15.75" customHeight="1">
      <c r="A107" s="4"/>
      <c r="B107" s="4"/>
      <c r="C107" s="5"/>
      <c r="D107" s="5"/>
      <c r="E107" s="5"/>
      <c r="F107" s="5"/>
      <c r="G107" s="5"/>
    </row>
    <row r="108" ht="15.75" customHeight="1">
      <c r="A108" s="4"/>
      <c r="B108" s="4"/>
      <c r="C108" s="5"/>
      <c r="D108" s="5"/>
      <c r="E108" s="5"/>
      <c r="F108" s="5"/>
      <c r="G108" s="5"/>
    </row>
    <row r="109" ht="15.75" customHeight="1">
      <c r="A109" s="4"/>
      <c r="B109" s="4"/>
      <c r="C109" s="5"/>
      <c r="D109" s="5"/>
      <c r="E109" s="5"/>
      <c r="F109" s="5"/>
      <c r="G109" s="5"/>
    </row>
    <row r="110" ht="15.75" customHeight="1">
      <c r="A110" s="4"/>
      <c r="B110" s="4"/>
      <c r="C110" s="5"/>
      <c r="D110" s="5"/>
      <c r="E110" s="5"/>
      <c r="F110" s="5"/>
      <c r="G110" s="5"/>
    </row>
    <row r="111" ht="15.75" customHeight="1">
      <c r="A111" s="4"/>
      <c r="B111" s="4"/>
      <c r="C111" s="5"/>
      <c r="D111" s="5"/>
      <c r="E111" s="5"/>
      <c r="F111" s="5"/>
      <c r="G111" s="5"/>
    </row>
    <row r="112" ht="15.75" customHeight="1">
      <c r="A112" s="4"/>
      <c r="B112" s="4"/>
      <c r="C112" s="5"/>
      <c r="D112" s="5"/>
      <c r="E112" s="5"/>
      <c r="F112" s="5"/>
      <c r="G112" s="5"/>
    </row>
    <row r="113" ht="15.75" customHeight="1">
      <c r="A113" s="4"/>
      <c r="B113" s="4"/>
      <c r="C113" s="5"/>
      <c r="D113" s="5"/>
      <c r="E113" s="5"/>
      <c r="F113" s="5"/>
      <c r="G113" s="5"/>
    </row>
    <row r="114" ht="15.75" customHeight="1">
      <c r="A114" s="4"/>
      <c r="B114" s="4"/>
      <c r="C114" s="5"/>
      <c r="D114" s="5"/>
      <c r="E114" s="5"/>
      <c r="F114" s="5"/>
      <c r="G114" s="5"/>
    </row>
    <row r="115" ht="15.75" customHeight="1">
      <c r="A115" s="4"/>
      <c r="B115" s="4"/>
      <c r="C115" s="5"/>
      <c r="D115" s="5"/>
      <c r="E115" s="5"/>
      <c r="F115" s="5"/>
      <c r="G115" s="5"/>
    </row>
    <row r="116" ht="15.75" customHeight="1">
      <c r="A116" s="4"/>
      <c r="B116" s="4"/>
      <c r="C116" s="5"/>
      <c r="D116" s="5"/>
      <c r="E116" s="5"/>
      <c r="F116" s="5"/>
      <c r="G116" s="5"/>
    </row>
    <row r="117" ht="15.75" customHeight="1">
      <c r="A117" s="4"/>
      <c r="B117" s="4"/>
      <c r="C117" s="5"/>
      <c r="D117" s="5"/>
      <c r="E117" s="5"/>
      <c r="F117" s="5"/>
      <c r="G117" s="5"/>
    </row>
    <row r="118" ht="15.75" customHeight="1">
      <c r="A118" s="4"/>
      <c r="B118" s="4"/>
      <c r="C118" s="5"/>
      <c r="D118" s="5"/>
      <c r="E118" s="5"/>
      <c r="F118" s="5"/>
      <c r="G118" s="5"/>
    </row>
    <row r="119" ht="15.75" customHeight="1">
      <c r="A119" s="4"/>
      <c r="B119" s="4"/>
      <c r="C119" s="5"/>
      <c r="D119" s="5"/>
      <c r="E119" s="5"/>
      <c r="F119" s="5"/>
      <c r="G119" s="5"/>
    </row>
    <row r="120" ht="15.75" customHeight="1">
      <c r="A120" s="4"/>
      <c r="B120" s="4"/>
      <c r="C120" s="5"/>
      <c r="D120" s="5"/>
      <c r="E120" s="5"/>
      <c r="F120" s="5"/>
      <c r="G120" s="5"/>
    </row>
    <row r="121" ht="15.75" customHeight="1">
      <c r="A121" s="4"/>
      <c r="B121" s="4"/>
      <c r="C121" s="5"/>
      <c r="D121" s="5"/>
      <c r="E121" s="5"/>
      <c r="F121" s="5"/>
      <c r="G121" s="5"/>
    </row>
    <row r="122" ht="15.75" customHeight="1">
      <c r="A122" s="4"/>
      <c r="B122" s="4"/>
      <c r="C122" s="5"/>
      <c r="D122" s="5"/>
      <c r="E122" s="5"/>
      <c r="F122" s="5"/>
      <c r="G122" s="5"/>
    </row>
    <row r="123" ht="15.75" customHeight="1">
      <c r="A123" s="4"/>
      <c r="B123" s="4"/>
      <c r="C123" s="5"/>
      <c r="D123" s="5"/>
      <c r="E123" s="5"/>
      <c r="F123" s="5"/>
      <c r="G123" s="5"/>
    </row>
    <row r="124" ht="15.75" customHeight="1">
      <c r="A124" s="4"/>
      <c r="B124" s="4"/>
      <c r="C124" s="5"/>
      <c r="D124" s="5"/>
      <c r="E124" s="5"/>
      <c r="F124" s="5"/>
      <c r="G124" s="5"/>
    </row>
    <row r="125" ht="15.75" customHeight="1">
      <c r="A125" s="4"/>
      <c r="B125" s="4"/>
      <c r="C125" s="5"/>
      <c r="D125" s="5"/>
      <c r="E125" s="5"/>
      <c r="F125" s="5"/>
      <c r="G125" s="5"/>
    </row>
    <row r="126" ht="15.75" customHeight="1">
      <c r="A126" s="4"/>
      <c r="B126" s="4"/>
      <c r="C126" s="5"/>
      <c r="D126" s="5"/>
      <c r="E126" s="5"/>
      <c r="F126" s="5"/>
      <c r="G126" s="5"/>
    </row>
    <row r="127" ht="15.75" customHeight="1">
      <c r="A127" s="4"/>
      <c r="B127" s="4"/>
      <c r="C127" s="5"/>
      <c r="D127" s="5"/>
      <c r="E127" s="5"/>
      <c r="F127" s="5"/>
      <c r="G127" s="5"/>
    </row>
    <row r="128" ht="15.75" customHeight="1">
      <c r="A128" s="4"/>
      <c r="B128" s="4"/>
      <c r="C128" s="5"/>
      <c r="D128" s="5"/>
      <c r="E128" s="5"/>
      <c r="F128" s="5"/>
      <c r="G128" s="5"/>
    </row>
    <row r="129" ht="15.75" customHeight="1">
      <c r="A129" s="4"/>
      <c r="B129" s="4"/>
      <c r="C129" s="5"/>
      <c r="D129" s="5"/>
      <c r="E129" s="5"/>
      <c r="F129" s="5"/>
      <c r="G129" s="5"/>
    </row>
    <row r="130" ht="15.75" customHeight="1">
      <c r="A130" s="4"/>
      <c r="B130" s="4"/>
      <c r="C130" s="5"/>
      <c r="D130" s="5"/>
      <c r="E130" s="5"/>
      <c r="F130" s="5"/>
      <c r="G130" s="5"/>
    </row>
    <row r="131" ht="15.75" customHeight="1">
      <c r="A131" s="4"/>
      <c r="B131" s="4"/>
      <c r="C131" s="5"/>
      <c r="D131" s="5"/>
      <c r="E131" s="5"/>
      <c r="F131" s="5"/>
      <c r="G131" s="5"/>
    </row>
    <row r="132" ht="15.75" customHeight="1">
      <c r="A132" s="4"/>
      <c r="B132" s="4"/>
      <c r="C132" s="5"/>
      <c r="D132" s="5"/>
      <c r="E132" s="5"/>
      <c r="F132" s="5"/>
      <c r="G132" s="5"/>
    </row>
    <row r="133" ht="15.75" customHeight="1">
      <c r="A133" s="4"/>
      <c r="B133" s="4"/>
      <c r="C133" s="5"/>
      <c r="D133" s="5"/>
      <c r="E133" s="5"/>
      <c r="F133" s="5"/>
      <c r="G133" s="5"/>
    </row>
    <row r="134" ht="15.75" customHeight="1">
      <c r="A134" s="4"/>
      <c r="B134" s="4"/>
      <c r="C134" s="5"/>
      <c r="D134" s="5"/>
      <c r="E134" s="5"/>
      <c r="F134" s="5"/>
      <c r="G134" s="5"/>
    </row>
    <row r="135" ht="15.75" customHeight="1">
      <c r="A135" s="4"/>
      <c r="B135" s="4"/>
      <c r="C135" s="5"/>
      <c r="D135" s="5"/>
      <c r="E135" s="5"/>
      <c r="F135" s="5"/>
      <c r="G135" s="5"/>
    </row>
    <row r="136" ht="15.75" customHeight="1">
      <c r="A136" s="4"/>
      <c r="B136" s="4"/>
      <c r="C136" s="5"/>
      <c r="D136" s="5"/>
      <c r="E136" s="5"/>
      <c r="F136" s="5"/>
      <c r="G136" s="5"/>
    </row>
    <row r="137" ht="15.75" customHeight="1">
      <c r="A137" s="4"/>
      <c r="B137" s="4"/>
      <c r="C137" s="5"/>
      <c r="D137" s="5"/>
      <c r="E137" s="5"/>
      <c r="F137" s="5"/>
      <c r="G137" s="5"/>
    </row>
    <row r="138" ht="15.75" customHeight="1">
      <c r="A138" s="4"/>
      <c r="B138" s="4"/>
      <c r="C138" s="5"/>
      <c r="D138" s="5"/>
      <c r="E138" s="5"/>
      <c r="F138" s="5"/>
      <c r="G138" s="5"/>
    </row>
    <row r="139" ht="15.75" customHeight="1">
      <c r="A139" s="4"/>
      <c r="B139" s="4"/>
      <c r="C139" s="5"/>
      <c r="D139" s="5"/>
      <c r="E139" s="5"/>
      <c r="F139" s="5"/>
      <c r="G139" s="5"/>
    </row>
    <row r="140" ht="15.75" customHeight="1">
      <c r="A140" s="4"/>
      <c r="B140" s="4"/>
      <c r="C140" s="5"/>
      <c r="D140" s="5"/>
      <c r="E140" s="5"/>
      <c r="F140" s="5"/>
      <c r="G140" s="5"/>
    </row>
    <row r="141" ht="15.75" customHeight="1">
      <c r="A141" s="4"/>
      <c r="B141" s="4"/>
      <c r="C141" s="5"/>
      <c r="D141" s="5"/>
      <c r="E141" s="5"/>
      <c r="F141" s="5"/>
      <c r="G141" s="5"/>
    </row>
    <row r="142" ht="15.75" customHeight="1">
      <c r="A142" s="4"/>
      <c r="B142" s="4"/>
      <c r="C142" s="5"/>
      <c r="D142" s="5"/>
      <c r="E142" s="5"/>
      <c r="F142" s="5"/>
      <c r="G142" s="5"/>
    </row>
    <row r="143" ht="15.75" customHeight="1">
      <c r="A143" s="4"/>
      <c r="B143" s="4"/>
      <c r="C143" s="5"/>
      <c r="D143" s="5"/>
      <c r="E143" s="5"/>
      <c r="F143" s="5"/>
      <c r="G143" s="5"/>
    </row>
    <row r="144" ht="15.75" customHeight="1">
      <c r="A144" s="4"/>
      <c r="B144" s="4"/>
      <c r="C144" s="5"/>
      <c r="D144" s="5"/>
      <c r="E144" s="5"/>
      <c r="F144" s="5"/>
      <c r="G144" s="5"/>
    </row>
    <row r="145" ht="15.75" customHeight="1">
      <c r="A145" s="4"/>
      <c r="B145" s="4"/>
      <c r="C145" s="5"/>
      <c r="D145" s="5"/>
      <c r="E145" s="5"/>
      <c r="F145" s="5"/>
      <c r="G145" s="5"/>
    </row>
    <row r="146" ht="15.75" customHeight="1">
      <c r="A146" s="4"/>
      <c r="B146" s="4"/>
      <c r="C146" s="5"/>
      <c r="D146" s="5"/>
      <c r="E146" s="5"/>
      <c r="F146" s="5"/>
      <c r="G146" s="5"/>
    </row>
    <row r="147" ht="15.75" customHeight="1">
      <c r="A147" s="4"/>
      <c r="B147" s="4"/>
      <c r="C147" s="5"/>
      <c r="D147" s="5"/>
      <c r="E147" s="5"/>
      <c r="F147" s="5"/>
      <c r="G147" s="5"/>
    </row>
    <row r="148" ht="15.75" customHeight="1">
      <c r="A148" s="4"/>
      <c r="B148" s="4"/>
      <c r="C148" s="5"/>
      <c r="D148" s="5"/>
      <c r="E148" s="5"/>
      <c r="F148" s="5"/>
      <c r="G148" s="5"/>
    </row>
    <row r="149" ht="15.75" customHeight="1">
      <c r="A149" s="4"/>
      <c r="B149" s="4"/>
      <c r="C149" s="5"/>
      <c r="D149" s="5"/>
      <c r="E149" s="5"/>
      <c r="F149" s="5"/>
      <c r="G149" s="5"/>
    </row>
    <row r="150" ht="15.75" customHeight="1">
      <c r="A150" s="4"/>
      <c r="B150" s="4"/>
      <c r="C150" s="5"/>
      <c r="D150" s="5"/>
      <c r="E150" s="5"/>
      <c r="F150" s="5"/>
      <c r="G150" s="5"/>
    </row>
    <row r="151" ht="15.75" customHeight="1">
      <c r="A151" s="4"/>
      <c r="B151" s="4"/>
      <c r="C151" s="5"/>
      <c r="D151" s="5"/>
      <c r="E151" s="5"/>
      <c r="F151" s="5"/>
      <c r="G151" s="5"/>
    </row>
    <row r="152" ht="15.75" customHeight="1">
      <c r="A152" s="4"/>
      <c r="B152" s="4"/>
      <c r="C152" s="5"/>
      <c r="D152" s="5"/>
      <c r="E152" s="5"/>
      <c r="F152" s="5"/>
      <c r="G152" s="5"/>
    </row>
    <row r="153" ht="15.75" customHeight="1">
      <c r="A153" s="4"/>
      <c r="B153" s="4"/>
      <c r="C153" s="5"/>
      <c r="D153" s="5"/>
      <c r="E153" s="5"/>
      <c r="F153" s="5"/>
      <c r="G153" s="5"/>
    </row>
    <row r="154" ht="15.75" customHeight="1">
      <c r="A154" s="4"/>
      <c r="B154" s="4"/>
      <c r="C154" s="5"/>
      <c r="D154" s="5"/>
      <c r="E154" s="5"/>
      <c r="F154" s="5"/>
      <c r="G154" s="5"/>
    </row>
    <row r="155" ht="15.75" customHeight="1">
      <c r="A155" s="4"/>
      <c r="B155" s="4"/>
      <c r="C155" s="5"/>
      <c r="D155" s="5"/>
      <c r="E155" s="5"/>
      <c r="F155" s="5"/>
      <c r="G155" s="5"/>
    </row>
    <row r="156" ht="15.75" customHeight="1">
      <c r="A156" s="4"/>
      <c r="B156" s="4"/>
      <c r="C156" s="5"/>
      <c r="D156" s="5"/>
      <c r="E156" s="5"/>
      <c r="F156" s="5"/>
      <c r="G156" s="5"/>
    </row>
    <row r="157" ht="15.75" customHeight="1">
      <c r="A157" s="4"/>
      <c r="B157" s="4"/>
      <c r="C157" s="5"/>
      <c r="D157" s="5"/>
      <c r="E157" s="5"/>
      <c r="F157" s="5"/>
      <c r="G157" s="5"/>
    </row>
    <row r="158" ht="15.75" customHeight="1">
      <c r="A158" s="4"/>
      <c r="B158" s="4"/>
      <c r="C158" s="5"/>
      <c r="D158" s="5"/>
      <c r="E158" s="5"/>
      <c r="F158" s="5"/>
      <c r="G158" s="5"/>
    </row>
    <row r="159" ht="15.75" customHeight="1">
      <c r="A159" s="4"/>
      <c r="B159" s="4"/>
      <c r="C159" s="5"/>
      <c r="D159" s="5"/>
      <c r="E159" s="5"/>
      <c r="F159" s="5"/>
      <c r="G159" s="5"/>
    </row>
    <row r="160" ht="15.75" customHeight="1">
      <c r="A160" s="4"/>
      <c r="B160" s="4"/>
      <c r="C160" s="5"/>
      <c r="D160" s="5"/>
      <c r="E160" s="5"/>
      <c r="F160" s="5"/>
      <c r="G160" s="5"/>
    </row>
    <row r="161" ht="15.75" customHeight="1">
      <c r="A161" s="4"/>
      <c r="B161" s="4"/>
      <c r="C161" s="5"/>
      <c r="D161" s="5"/>
      <c r="E161" s="5"/>
      <c r="F161" s="5"/>
      <c r="G161" s="5"/>
    </row>
    <row r="162" ht="15.75" customHeight="1">
      <c r="A162" s="4"/>
      <c r="B162" s="4"/>
      <c r="C162" s="5"/>
      <c r="D162" s="5"/>
      <c r="E162" s="5"/>
      <c r="F162" s="5"/>
      <c r="G162" s="5"/>
    </row>
    <row r="163" ht="15.75" customHeight="1">
      <c r="A163" s="4"/>
      <c r="B163" s="4"/>
      <c r="C163" s="5"/>
      <c r="D163" s="5"/>
      <c r="E163" s="5"/>
      <c r="F163" s="5"/>
      <c r="G163" s="5"/>
    </row>
    <row r="164" ht="15.75" customHeight="1">
      <c r="A164" s="4"/>
      <c r="B164" s="4"/>
      <c r="C164" s="5"/>
      <c r="D164" s="5"/>
      <c r="E164" s="5"/>
      <c r="F164" s="5"/>
      <c r="G164" s="5"/>
    </row>
    <row r="165" ht="15.75" customHeight="1">
      <c r="A165" s="4"/>
      <c r="B165" s="4"/>
      <c r="C165" s="5"/>
      <c r="D165" s="5"/>
      <c r="E165" s="5"/>
      <c r="F165" s="5"/>
      <c r="G165" s="5"/>
    </row>
    <row r="166" ht="15.75" customHeight="1">
      <c r="A166" s="4"/>
      <c r="B166" s="4"/>
      <c r="C166" s="5"/>
      <c r="D166" s="5"/>
      <c r="E166" s="5"/>
      <c r="F166" s="5"/>
      <c r="G166" s="5"/>
    </row>
    <row r="167" ht="15.75" customHeight="1">
      <c r="A167" s="4"/>
      <c r="B167" s="4"/>
      <c r="C167" s="5"/>
      <c r="D167" s="5"/>
      <c r="E167" s="5"/>
      <c r="F167" s="5"/>
      <c r="G167" s="5"/>
    </row>
    <row r="168" ht="15.75" customHeight="1">
      <c r="A168" s="4"/>
      <c r="B168" s="4"/>
      <c r="C168" s="5"/>
      <c r="D168" s="5"/>
      <c r="E168" s="5"/>
      <c r="F168" s="5"/>
      <c r="G168" s="5"/>
    </row>
    <row r="169" ht="15.75" customHeight="1">
      <c r="A169" s="4"/>
      <c r="B169" s="4"/>
      <c r="C169" s="5"/>
      <c r="D169" s="5"/>
      <c r="E169" s="5"/>
      <c r="F169" s="5"/>
      <c r="G169" s="5"/>
    </row>
    <row r="170" ht="15.75" customHeight="1">
      <c r="A170" s="4"/>
      <c r="B170" s="4"/>
      <c r="C170" s="5"/>
      <c r="D170" s="5"/>
      <c r="E170" s="5"/>
      <c r="F170" s="5"/>
      <c r="G170" s="5"/>
    </row>
    <row r="171" ht="15.75" customHeight="1">
      <c r="A171" s="4"/>
      <c r="B171" s="4"/>
      <c r="C171" s="5"/>
      <c r="D171" s="5"/>
      <c r="E171" s="5"/>
      <c r="F171" s="5"/>
      <c r="G171" s="5"/>
    </row>
    <row r="172" ht="15.75" customHeight="1">
      <c r="A172" s="4"/>
      <c r="B172" s="4"/>
      <c r="C172" s="5"/>
      <c r="D172" s="5"/>
      <c r="E172" s="5"/>
      <c r="F172" s="5"/>
      <c r="G172" s="5"/>
    </row>
    <row r="173" ht="15.75" customHeight="1">
      <c r="A173" s="4"/>
      <c r="B173" s="4"/>
      <c r="C173" s="5"/>
      <c r="D173" s="5"/>
      <c r="E173" s="5"/>
      <c r="F173" s="5"/>
      <c r="G173" s="5"/>
    </row>
    <row r="174" ht="15.75" customHeight="1">
      <c r="A174" s="4"/>
      <c r="B174" s="4"/>
      <c r="C174" s="5"/>
      <c r="D174" s="5"/>
      <c r="E174" s="5"/>
      <c r="F174" s="5"/>
      <c r="G174" s="5"/>
    </row>
    <row r="175" ht="15.75" customHeight="1">
      <c r="A175" s="4"/>
      <c r="B175" s="4"/>
      <c r="C175" s="5"/>
      <c r="D175" s="5"/>
      <c r="E175" s="5"/>
      <c r="F175" s="5"/>
      <c r="G175" s="5"/>
    </row>
    <row r="176" ht="15.75" customHeight="1">
      <c r="A176" s="4"/>
      <c r="B176" s="4"/>
      <c r="C176" s="5"/>
      <c r="D176" s="5"/>
      <c r="E176" s="5"/>
      <c r="F176" s="5"/>
      <c r="G176" s="5"/>
    </row>
    <row r="177" ht="15.75" customHeight="1">
      <c r="A177" s="4"/>
      <c r="B177" s="4"/>
      <c r="C177" s="5"/>
      <c r="D177" s="5"/>
      <c r="E177" s="5"/>
      <c r="F177" s="5"/>
      <c r="G177" s="5"/>
    </row>
    <row r="178" ht="15.75" customHeight="1">
      <c r="A178" s="4"/>
      <c r="B178" s="4"/>
      <c r="C178" s="5"/>
      <c r="D178" s="5"/>
      <c r="E178" s="5"/>
      <c r="F178" s="5"/>
      <c r="G178" s="5"/>
    </row>
    <row r="179" ht="15.75" customHeight="1">
      <c r="A179" s="4"/>
      <c r="B179" s="4"/>
      <c r="C179" s="5"/>
      <c r="D179" s="5"/>
      <c r="E179" s="5"/>
      <c r="F179" s="5"/>
      <c r="G179" s="5"/>
    </row>
    <row r="180" ht="15.75" customHeight="1">
      <c r="A180" s="4"/>
      <c r="B180" s="4"/>
      <c r="C180" s="5"/>
      <c r="D180" s="5"/>
      <c r="E180" s="5"/>
      <c r="F180" s="5"/>
      <c r="G180" s="5"/>
    </row>
    <row r="181" ht="15.75" customHeight="1">
      <c r="A181" s="4"/>
      <c r="B181" s="4"/>
      <c r="C181" s="5"/>
      <c r="D181" s="5"/>
      <c r="E181" s="5"/>
      <c r="F181" s="5"/>
      <c r="G181" s="5"/>
    </row>
    <row r="182" ht="15.75" customHeight="1">
      <c r="A182" s="4"/>
      <c r="B182" s="4"/>
      <c r="C182" s="5"/>
      <c r="D182" s="5"/>
      <c r="E182" s="5"/>
      <c r="F182" s="5"/>
      <c r="G182" s="5"/>
    </row>
    <row r="183" ht="15.75" customHeight="1">
      <c r="A183" s="4"/>
      <c r="B183" s="4"/>
      <c r="C183" s="5"/>
      <c r="D183" s="5"/>
      <c r="E183" s="5"/>
      <c r="F183" s="5"/>
      <c r="G183" s="5"/>
    </row>
    <row r="184" ht="15.75" customHeight="1">
      <c r="A184" s="4"/>
      <c r="B184" s="4"/>
      <c r="C184" s="5"/>
      <c r="D184" s="5"/>
      <c r="E184" s="5"/>
      <c r="F184" s="5"/>
      <c r="G184" s="5"/>
    </row>
    <row r="185" ht="15.75" customHeight="1">
      <c r="A185" s="4"/>
      <c r="B185" s="4"/>
      <c r="C185" s="5"/>
      <c r="D185" s="5"/>
      <c r="E185" s="5"/>
      <c r="F185" s="5"/>
      <c r="G185" s="5"/>
    </row>
    <row r="186" ht="15.75" customHeight="1">
      <c r="A186" s="4"/>
      <c r="B186" s="4"/>
      <c r="C186" s="5"/>
      <c r="D186" s="5"/>
      <c r="E186" s="5"/>
      <c r="F186" s="5"/>
      <c r="G186" s="5"/>
    </row>
    <row r="187" ht="15.75" customHeight="1">
      <c r="A187" s="4"/>
      <c r="B187" s="4"/>
      <c r="C187" s="5"/>
      <c r="D187" s="5"/>
      <c r="E187" s="5"/>
      <c r="F187" s="5"/>
      <c r="G187" s="5"/>
    </row>
    <row r="188" ht="15.75" customHeight="1">
      <c r="A188" s="4"/>
      <c r="B188" s="4"/>
      <c r="C188" s="5"/>
      <c r="D188" s="5"/>
      <c r="E188" s="5"/>
      <c r="F188" s="5"/>
      <c r="G188" s="5"/>
    </row>
    <row r="189" ht="15.75" customHeight="1">
      <c r="A189" s="4"/>
      <c r="B189" s="4"/>
      <c r="C189" s="5"/>
      <c r="D189" s="5"/>
      <c r="E189" s="5"/>
      <c r="F189" s="5"/>
      <c r="G189" s="5"/>
    </row>
    <row r="190" ht="15.75" customHeight="1">
      <c r="A190" s="4"/>
      <c r="B190" s="4"/>
      <c r="C190" s="5"/>
      <c r="D190" s="5"/>
      <c r="E190" s="5"/>
      <c r="F190" s="5"/>
      <c r="G190" s="5"/>
    </row>
    <row r="191" ht="15.75" customHeight="1">
      <c r="A191" s="4"/>
      <c r="B191" s="4"/>
      <c r="C191" s="5"/>
      <c r="D191" s="5"/>
      <c r="E191" s="5"/>
      <c r="F191" s="5"/>
      <c r="G191" s="5"/>
    </row>
    <row r="192" ht="15.75" customHeight="1">
      <c r="A192" s="4"/>
      <c r="B192" s="4"/>
      <c r="C192" s="5"/>
      <c r="D192" s="5"/>
      <c r="E192" s="5"/>
      <c r="F192" s="5"/>
      <c r="G192" s="5"/>
    </row>
    <row r="193" ht="15.75" customHeight="1">
      <c r="A193" s="4"/>
      <c r="B193" s="4"/>
      <c r="C193" s="5"/>
      <c r="D193" s="5"/>
      <c r="E193" s="5"/>
      <c r="F193" s="5"/>
      <c r="G193" s="5"/>
    </row>
    <row r="194" ht="15.75" customHeight="1">
      <c r="A194" s="4"/>
      <c r="B194" s="4"/>
      <c r="C194" s="5"/>
      <c r="D194" s="5"/>
      <c r="E194" s="5"/>
      <c r="F194" s="5"/>
      <c r="G194" s="5"/>
    </row>
    <row r="195" ht="15.75" customHeight="1">
      <c r="A195" s="4"/>
      <c r="B195" s="4"/>
      <c r="C195" s="5"/>
      <c r="D195" s="5"/>
      <c r="E195" s="5"/>
      <c r="F195" s="5"/>
      <c r="G195" s="5"/>
    </row>
    <row r="196" ht="15.75" customHeight="1">
      <c r="A196" s="4"/>
      <c r="B196" s="4"/>
      <c r="C196" s="5"/>
      <c r="D196" s="5"/>
      <c r="E196" s="5"/>
      <c r="F196" s="5"/>
      <c r="G196" s="5"/>
    </row>
    <row r="197" ht="15.75" customHeight="1">
      <c r="A197" s="4"/>
      <c r="B197" s="4"/>
      <c r="C197" s="5"/>
      <c r="D197" s="5"/>
      <c r="E197" s="5"/>
      <c r="F197" s="5"/>
      <c r="G197" s="5"/>
    </row>
    <row r="198" ht="15.75" customHeight="1">
      <c r="A198" s="4"/>
      <c r="B198" s="4"/>
      <c r="C198" s="5"/>
      <c r="D198" s="5"/>
      <c r="E198" s="5"/>
      <c r="F198" s="5"/>
      <c r="G198" s="5"/>
    </row>
    <row r="199" ht="15.75" customHeight="1">
      <c r="A199" s="4"/>
      <c r="B199" s="4"/>
      <c r="C199" s="5"/>
      <c r="D199" s="5"/>
      <c r="E199" s="5"/>
      <c r="F199" s="5"/>
      <c r="G199" s="5"/>
    </row>
    <row r="200" ht="15.75" customHeight="1">
      <c r="A200" s="4"/>
      <c r="B200" s="4"/>
      <c r="C200" s="5"/>
      <c r="D200" s="5"/>
      <c r="E200" s="5"/>
      <c r="F200" s="5"/>
      <c r="G200" s="5"/>
    </row>
    <row r="201" ht="15.75" customHeight="1">
      <c r="A201" s="4"/>
      <c r="B201" s="4"/>
      <c r="C201" s="5"/>
      <c r="D201" s="5"/>
      <c r="E201" s="5"/>
      <c r="F201" s="5"/>
      <c r="G201" s="5"/>
    </row>
    <row r="202" ht="15.75" customHeight="1">
      <c r="A202" s="4"/>
      <c r="B202" s="4"/>
      <c r="C202" s="5"/>
      <c r="D202" s="5"/>
      <c r="E202" s="5"/>
      <c r="F202" s="5"/>
      <c r="G202" s="5"/>
    </row>
    <row r="203" ht="15.75" customHeight="1">
      <c r="A203" s="4"/>
      <c r="B203" s="4"/>
      <c r="C203" s="5"/>
      <c r="D203" s="5"/>
      <c r="E203" s="5"/>
      <c r="F203" s="5"/>
      <c r="G203" s="5"/>
    </row>
    <row r="204" ht="15.75" customHeight="1">
      <c r="A204" s="4"/>
      <c r="B204" s="4"/>
      <c r="C204" s="5"/>
      <c r="D204" s="5"/>
      <c r="E204" s="5"/>
      <c r="F204" s="5"/>
      <c r="G204" s="5"/>
    </row>
    <row r="205" ht="15.75" customHeight="1">
      <c r="A205" s="4"/>
      <c r="B205" s="4"/>
      <c r="C205" s="5"/>
      <c r="D205" s="5"/>
      <c r="E205" s="5"/>
      <c r="F205" s="5"/>
      <c r="G205" s="5"/>
    </row>
    <row r="206" ht="15.75" customHeight="1">
      <c r="A206" s="4"/>
      <c r="B206" s="4"/>
      <c r="C206" s="5"/>
      <c r="D206" s="5"/>
      <c r="E206" s="5"/>
      <c r="F206" s="5"/>
      <c r="G206" s="5"/>
    </row>
    <row r="207" ht="15.75" customHeight="1">
      <c r="A207" s="4"/>
      <c r="B207" s="4"/>
      <c r="C207" s="5"/>
      <c r="D207" s="5"/>
      <c r="E207" s="5"/>
      <c r="F207" s="5"/>
      <c r="G207" s="5"/>
    </row>
    <row r="208" ht="15.75" customHeight="1">
      <c r="A208" s="4"/>
      <c r="B208" s="4"/>
      <c r="C208" s="5"/>
      <c r="D208" s="5"/>
      <c r="E208" s="5"/>
      <c r="F208" s="5"/>
      <c r="G208" s="5"/>
    </row>
    <row r="209" ht="15.75" customHeight="1">
      <c r="A209" s="4"/>
      <c r="B209" s="4"/>
      <c r="C209" s="5"/>
      <c r="D209" s="5"/>
      <c r="E209" s="5"/>
      <c r="F209" s="5"/>
      <c r="G209" s="5"/>
    </row>
    <row r="210" ht="15.75" customHeight="1">
      <c r="A210" s="4"/>
      <c r="B210" s="4"/>
      <c r="C210" s="5"/>
      <c r="D210" s="5"/>
      <c r="E210" s="5"/>
      <c r="F210" s="5"/>
      <c r="G210" s="5"/>
    </row>
    <row r="211" ht="15.75" customHeight="1">
      <c r="A211" s="4"/>
      <c r="B211" s="4"/>
      <c r="C211" s="5"/>
      <c r="D211" s="5"/>
      <c r="E211" s="5"/>
      <c r="F211" s="5"/>
      <c r="G211" s="5"/>
    </row>
    <row r="212" ht="15.75" customHeight="1">
      <c r="A212" s="4"/>
      <c r="B212" s="4"/>
      <c r="C212" s="5"/>
      <c r="D212" s="5"/>
      <c r="E212" s="5"/>
      <c r="F212" s="5"/>
      <c r="G212" s="5"/>
    </row>
    <row r="213" ht="15.75" customHeight="1">
      <c r="A213" s="4"/>
      <c r="B213" s="4"/>
      <c r="C213" s="5"/>
      <c r="D213" s="5"/>
      <c r="E213" s="5"/>
      <c r="F213" s="5"/>
      <c r="G213" s="5"/>
    </row>
    <row r="214" ht="15.75" customHeight="1">
      <c r="A214" s="4"/>
      <c r="B214" s="4"/>
      <c r="C214" s="5"/>
      <c r="D214" s="5"/>
      <c r="E214" s="5"/>
      <c r="F214" s="5"/>
      <c r="G214" s="5"/>
    </row>
    <row r="215" ht="15.75" customHeight="1">
      <c r="A215" s="4"/>
      <c r="B215" s="4"/>
      <c r="C215" s="5"/>
      <c r="D215" s="5"/>
      <c r="E215" s="5"/>
      <c r="F215" s="5"/>
      <c r="G215" s="5"/>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31.38"/>
    <col customWidth="1" min="4" max="5" width="37.63"/>
    <col customWidth="1" min="6" max="6" width="62.63"/>
  </cols>
  <sheetData>
    <row r="1" ht="15.75" customHeight="1">
      <c r="A1" s="4" t="s">
        <v>1</v>
      </c>
      <c r="B1" s="4" t="s">
        <v>2</v>
      </c>
      <c r="C1" s="5" t="s">
        <v>3</v>
      </c>
      <c r="D1" s="5" t="s">
        <v>4</v>
      </c>
      <c r="E1" s="5" t="s">
        <v>5</v>
      </c>
      <c r="F1" s="5" t="s">
        <v>6</v>
      </c>
      <c r="G1" s="5"/>
    </row>
    <row r="2" ht="15.75" customHeight="1">
      <c r="A2" s="4">
        <v>45936.56254837963</v>
      </c>
      <c r="B2" s="4">
        <v>45914.741388888884</v>
      </c>
      <c r="C2" s="5" t="s">
        <v>0</v>
      </c>
      <c r="D2" s="6" t="str">
        <f>HYPERLINK("https://mail.google.com/mail?extsrc=sync&amp;client=docs&amp;plid=ACUX6DPwPsbpRBBl6ZURWdDHm2W45sq3fd1eNWI", "Hours")</f>
        <v>Hours</v>
      </c>
      <c r="E2" s="6" t="str">
        <f>HYPERLINK("https://drive.google.com/file/d/1kQTSS4bb7NVyLWqgE4yKo8NANgsbIE45/view", "Hours.pdf")</f>
        <v>Hours.pdf</v>
      </c>
      <c r="F2" s="6" t="str">
        <f t="shared" ref="F2:F13" si="1">HYPERLINK("https://drive.google.com/drive/folders/1yXhNOchbzlPJjh2q0Oq3eAPNtMCuCWLx", "My Drive &gt; KH &gt; poa &gt; My Drive &gt; KH &gt; poa &gt; amy-mccellon-emails")</f>
        <v>My Drive &gt; KH &gt; poa &gt; My Drive &gt; KH &gt; poa &gt; amy-mccellon-emails</v>
      </c>
      <c r="G2" s="5"/>
    </row>
    <row r="3" ht="15.75" customHeight="1">
      <c r="A3" s="4">
        <v>45936.56252365741</v>
      </c>
      <c r="B3" s="4">
        <v>45930.78890046296</v>
      </c>
      <c r="C3" s="5" t="s">
        <v>0</v>
      </c>
      <c r="D3" s="6" t="str">
        <f>HYPERLINK("https://mail.google.com/mail?extsrc=sync&amp;client=docs&amp;plid=ACUX6DM5tRNiCX3dO_2eUP1im5TUW2b6r7z3Usw", "Kathy visit on 9/29/2025")</f>
        <v>Kathy visit on 9/29/2025</v>
      </c>
      <c r="E3" s="6" t="str">
        <f>HYPERLINK("https://drive.google.com/file/d/1rxudAoqEmCB6I6Eg94ovmpS7eGPA4-GT/view", "Kathy visit on 9292025.pdf")</f>
        <v>Kathy visit on 9292025.pdf</v>
      </c>
      <c r="F3" s="6" t="str">
        <f t="shared" si="1"/>
        <v>My Drive &gt; KH &gt; poa &gt; My Drive &gt; KH &gt; poa &gt; amy-mccellon-emails</v>
      </c>
      <c r="G3" s="5"/>
    </row>
    <row r="4" ht="15.75" customHeight="1">
      <c r="A4" s="4">
        <v>45936.56249104167</v>
      </c>
      <c r="B4" s="4">
        <v>45931.575636574074</v>
      </c>
      <c r="C4" s="5" t="s">
        <v>0</v>
      </c>
      <c r="D4" s="6" t="str">
        <f>HYPERLINK("https://mail.google.com/mail?extsrc=sync&amp;client=docs&amp;plid=ACUX6DPJcdIL1j-O8rgOUeohK662Vc1cirGBTII", "Re: Kathy visit update/hours")</f>
        <v>Re: Kathy visit update/hours</v>
      </c>
      <c r="E4" s="6" t="str">
        <f>HYPERLINK("https://drive.google.com/file/d/11O9PCxx81ah4IslPVRz8kKSXSDFv7XKm/view", "Re Kathy visit updatehours.pdf")</f>
        <v>Re Kathy visit updatehours.pdf</v>
      </c>
      <c r="F4" s="6" t="str">
        <f t="shared" si="1"/>
        <v>My Drive &gt; KH &gt; poa &gt; My Drive &gt; KH &gt; poa &gt; amy-mccellon-emails</v>
      </c>
      <c r="G4" s="5"/>
    </row>
    <row r="5" ht="15.75" customHeight="1">
      <c r="A5" s="4">
        <v>45936.56244513889</v>
      </c>
      <c r="B5" s="4">
        <v>45934.282442129625</v>
      </c>
      <c r="C5" s="5" t="s">
        <v>0</v>
      </c>
      <c r="D5" s="6" t="str">
        <f>HYPERLINK("https://mail.google.com/mail?extsrc=sync&amp;client=docs&amp;plid=ACUX6DNnOpPlNfc-oJT306tW09iQDrP4t_OGUns", "Thoughts on how to help Kathy best")</f>
        <v>Thoughts on how to help Kathy best</v>
      </c>
      <c r="E5" s="6" t="str">
        <f>HYPERLINK("https://drive.google.com/file/d/10Hdm5sfr_Yisf-w78Y3uNhwU4gNlKfOt/view", "Thoughts on how to help Kathy best.pdf")</f>
        <v>Thoughts on how to help Kathy best.pdf</v>
      </c>
      <c r="F5" s="6" t="str">
        <f t="shared" si="1"/>
        <v>My Drive &gt; KH &gt; poa &gt; My Drive &gt; KH &gt; poa &gt; amy-mccellon-emails</v>
      </c>
      <c r="G5" s="5"/>
    </row>
    <row r="6" ht="15.75" customHeight="1">
      <c r="A6" s="4">
        <v>45936.56242170139</v>
      </c>
      <c r="B6" s="4">
        <v>45929.609548611115</v>
      </c>
      <c r="C6" s="5" t="s">
        <v>0</v>
      </c>
      <c r="D6" s="6" t="str">
        <f>HYPERLINK("https://mail.google.com/mail?extsrc=sync&amp;client=docs&amp;plid=ACUX6DP6Bonzhf-D5-ETlET4Le_beQTTZ1XpJQw", "Hours")</f>
        <v>Hours</v>
      </c>
      <c r="E6" s="6" t="str">
        <f>HYPERLINK("https://drive.google.com/file/d/1iKteii3MMcko8AydLiSw_TeXBefseHOi/view", "Hours.pdf")</f>
        <v>Hours.pdf</v>
      </c>
      <c r="F6" s="6" t="str">
        <f t="shared" si="1"/>
        <v>My Drive &gt; KH &gt; poa &gt; My Drive &gt; KH &gt; poa &gt; amy-mccellon-emails</v>
      </c>
      <c r="G6" s="5"/>
    </row>
    <row r="7" ht="15.75" customHeight="1">
      <c r="A7" s="4">
        <v>45936.56238342593</v>
      </c>
      <c r="B7" s="4">
        <v>45936.49303240741</v>
      </c>
      <c r="C7" s="5" t="s">
        <v>0</v>
      </c>
      <c r="D7" s="6" t="str">
        <f>HYPERLINK("https://mail.google.com/mail?extsrc=sync&amp;client=docs&amp;plid=ACUX6DP6_qK_1ZzxZDllUiw9rsXjAifpiznHgGg", "Hours for Sept 28-Oct 3rd &amp; lock update")</f>
        <v>Hours for Sept 28-Oct 3rd &amp; lock update</v>
      </c>
      <c r="E7" s="6" t="str">
        <f>HYPERLINK("https://drive.google.com/file/d/1m--sDTD0-SP5Jt4wn6n2nNbBLXLP_Cyd/view", "Hours for Sept 28-Oct 3rd &amp; lock update.pdf")</f>
        <v>Hours for Sept 28-Oct 3rd &amp; lock update.pdf</v>
      </c>
      <c r="F7" s="6" t="str">
        <f t="shared" si="1"/>
        <v>My Drive &gt; KH &gt; poa &gt; My Drive &gt; KH &gt; poa &gt; amy-mccellon-emails</v>
      </c>
      <c r="G7" s="5"/>
    </row>
    <row r="8" ht="15.75" customHeight="1">
      <c r="A8" s="4">
        <v>45936.562359062504</v>
      </c>
      <c r="B8" s="4">
        <v>45918.73726851852</v>
      </c>
      <c r="C8" s="5" t="s">
        <v>0</v>
      </c>
      <c r="D8" s="6" t="str">
        <f>HYPERLINK("https://mail.google.com/mail?extsrc=sync&amp;client=docs&amp;plid=ACUX6DMQAsCSgcl28H5u_xcVOUqmylk05b3Xw9Q", "Locks &amp; Generator")</f>
        <v>Locks &amp; Generator</v>
      </c>
      <c r="E8" s="6" t="str">
        <f>HYPERLINK("https://drive.google.com/file/d/1mnxUxaGPmJKnjtbmXgkHShol7HCKoU3q/view", "Locks &amp; Generator.pdf")</f>
        <v>Locks &amp; Generator.pdf</v>
      </c>
      <c r="F8" s="6" t="str">
        <f t="shared" si="1"/>
        <v>My Drive &gt; KH &gt; poa &gt; My Drive &gt; KH &gt; poa &gt; amy-mccellon-emails</v>
      </c>
      <c r="G8" s="5"/>
    </row>
    <row r="9" ht="15.75" customHeight="1">
      <c r="A9" s="4">
        <v>45936.562332500005</v>
      </c>
      <c r="B9" s="4">
        <v>45922.760624999995</v>
      </c>
      <c r="C9" s="5" t="s">
        <v>0</v>
      </c>
      <c r="D9" s="6" t="str">
        <f>HYPERLINK("https://mail.google.com/mail?extsrc=sync&amp;client=docs&amp;plid=ACUX6DOLS486iyENteszk_EkELb8IepM-gPITl8", "Kathy visit 9/22/2025 &amp; hours for 9/14-9/20/2025")</f>
        <v>Kathy visit 9/22/2025 &amp; hours for 9/14-9/20/2025</v>
      </c>
      <c r="E9" s="6" t="str">
        <f>HYPERLINK("https://drive.google.com/file/d/1GocL1ZganNiUrpmkElJIr6Ib-iHKUidI/view", "Kathy visit 9222025 &amp; hours for 914-9202025.pdf")</f>
        <v>Kathy visit 9222025 &amp; hours for 914-9202025.pdf</v>
      </c>
      <c r="F9" s="6" t="str">
        <f t="shared" si="1"/>
        <v>My Drive &gt; KH &gt; poa &gt; My Drive &gt; KH &gt; poa &gt; amy-mccellon-emails</v>
      </c>
      <c r="G9" s="5"/>
    </row>
    <row r="10" ht="15.75" customHeight="1">
      <c r="A10" s="4">
        <v>45936.56227475694</v>
      </c>
      <c r="B10" s="4">
        <v>45922.76358796297</v>
      </c>
      <c r="C10" s="5" t="s">
        <v>0</v>
      </c>
      <c r="D10" s="6" t="str">
        <f>HYPERLINK("https://mail.google.com/mail?extsrc=sync&amp;client=docs&amp;plid=ACUX6DP9Trdcu4oqezF4nChEPDGkrPO1FaOou9E", "Re: Invoice #1/2")</f>
        <v>Re: Invoice #1/2</v>
      </c>
      <c r="E10" s="6" t="str">
        <f>HYPERLINK("https://drive.google.com/file/d/1nEJ45RTXk3Z0zMaEIr_2WLZG7mWk43V8/view", "IMG_1456.jpeg")</f>
        <v>IMG_1456.jpeg</v>
      </c>
      <c r="F10" s="6" t="str">
        <f t="shared" si="1"/>
        <v>My Drive &gt; KH &gt; poa &gt; My Drive &gt; KH &gt; poa &gt; amy-mccellon-emails</v>
      </c>
      <c r="G10" s="5"/>
    </row>
    <row r="11" ht="15.75" customHeight="1">
      <c r="A11" s="4">
        <v>45936.56227524306</v>
      </c>
      <c r="B11" s="4">
        <v>45922.76358796297</v>
      </c>
      <c r="C11" s="5" t="s">
        <v>0</v>
      </c>
      <c r="D11" s="6" t="str">
        <f>HYPERLINK("https://mail.google.com/mail?extsrc=sync&amp;client=docs&amp;plid=ACUX6DP9Trdcu4oqezF4nChEPDGkrPO1FaOou9E", "Re: Invoice #2/2")</f>
        <v>Re: Invoice #2/2</v>
      </c>
      <c r="E11" s="6" t="str">
        <f>HYPERLINK("https://drive.google.com/file/d/1zLUt8Izw0waxAqZxwreNlRSfk-BPKF8H/view", "IMG_1455.jpeg")</f>
        <v>IMG_1455.jpeg</v>
      </c>
      <c r="F11" s="6" t="str">
        <f t="shared" si="1"/>
        <v>My Drive &gt; KH &gt; poa &gt; My Drive &gt; KH &gt; poa &gt; amy-mccellon-emails</v>
      </c>
      <c r="G11" s="5"/>
    </row>
    <row r="12" ht="15.75" customHeight="1">
      <c r="A12" s="4">
        <v>45936.56230391204</v>
      </c>
      <c r="B12" s="4">
        <v>45922.76358796297</v>
      </c>
      <c r="C12" s="5" t="s">
        <v>0</v>
      </c>
      <c r="D12" s="6" t="str">
        <f>HYPERLINK("https://mail.google.com/mail?extsrc=sync&amp;client=docs&amp;plid=ACUX6DP9Trdcu4oqezF4nChEPDGkrPO1FaOou9E", "Re: Invoice")</f>
        <v>Re: Invoice</v>
      </c>
      <c r="E12" s="6" t="str">
        <f>HYPERLINK("https://drive.google.com/file/d/1dknqmDOvBdTjAoDZmF0K2NIzHPcsoZHh/view", "Re Invoice.pdf")</f>
        <v>Re Invoice.pdf</v>
      </c>
      <c r="F12" s="6" t="str">
        <f t="shared" si="1"/>
        <v>My Drive &gt; KH &gt; poa &gt; My Drive &gt; KH &gt; poa &gt; amy-mccellon-emails</v>
      </c>
      <c r="G12" s="5"/>
    </row>
    <row r="13" ht="15.75" customHeight="1">
      <c r="A13" s="4">
        <v>45936.562219618056</v>
      </c>
      <c r="B13" s="4">
        <v>45922.7631712963</v>
      </c>
      <c r="C13" s="5" t="s">
        <v>0</v>
      </c>
      <c r="D13" s="6" t="str">
        <f>HYPERLINK("https://mail.google.com/mail?extsrc=sync&amp;client=docs&amp;plid=ACUX6DP9Trdcu4oqezF4nChEPDGkrPO1FaOou9E", "Invoice")</f>
        <v>Invoice</v>
      </c>
      <c r="E13" s="6" t="str">
        <f>HYPERLINK("https://drive.google.com/file/d/1qob6ESnp7f12V9-tH53kYfm6RJML8U2N/view", "Invoice.pdf")</f>
        <v>Invoice.pdf</v>
      </c>
      <c r="F13" s="6" t="str">
        <f t="shared" si="1"/>
        <v>My Drive &gt; KH &gt; poa &gt; My Drive &gt; KH &gt; poa &gt; amy-mccellon-emails</v>
      </c>
      <c r="G13" s="5"/>
    </row>
    <row r="14" ht="15.75" customHeight="1">
      <c r="A14" s="4"/>
      <c r="B14" s="4"/>
      <c r="C14" s="5"/>
      <c r="D14" s="5"/>
      <c r="E14" s="5"/>
      <c r="F14" s="5"/>
      <c r="G14" s="5"/>
    </row>
    <row r="15" ht="15.75" customHeight="1">
      <c r="A15" s="4"/>
      <c r="B15" s="4"/>
      <c r="C15" s="5"/>
      <c r="D15" s="5"/>
      <c r="E15" s="5"/>
      <c r="F15" s="5"/>
      <c r="G15" s="5"/>
    </row>
    <row r="16" ht="15.75" customHeight="1">
      <c r="A16" s="4"/>
      <c r="B16" s="4"/>
      <c r="C16" s="5"/>
      <c r="D16" s="5"/>
      <c r="E16" s="5"/>
      <c r="F16" s="5"/>
      <c r="G16" s="5"/>
    </row>
    <row r="17" ht="15.75" customHeight="1">
      <c r="A17" s="4"/>
      <c r="B17" s="4"/>
      <c r="C17" s="5"/>
      <c r="D17" s="5"/>
      <c r="E17" s="5"/>
      <c r="F17" s="5"/>
      <c r="G17" s="5"/>
    </row>
    <row r="18" ht="15.75" customHeight="1">
      <c r="A18" s="4"/>
      <c r="B18" s="4"/>
      <c r="C18" s="5"/>
      <c r="D18" s="5"/>
      <c r="E18" s="5"/>
      <c r="F18" s="5"/>
      <c r="G18" s="5"/>
    </row>
    <row r="19" ht="15.75" customHeight="1">
      <c r="A19" s="4"/>
      <c r="B19" s="4"/>
      <c r="C19" s="5"/>
      <c r="D19" s="5"/>
      <c r="E19" s="5"/>
      <c r="F19" s="5"/>
      <c r="G19" s="5"/>
    </row>
    <row r="20" ht="15.75" customHeight="1">
      <c r="A20" s="4"/>
      <c r="B20" s="4"/>
      <c r="C20" s="5"/>
      <c r="D20" s="5"/>
      <c r="E20" s="5"/>
      <c r="F20" s="5"/>
      <c r="G20" s="5"/>
    </row>
    <row r="21" ht="15.75" customHeight="1">
      <c r="A21" s="4"/>
      <c r="B21" s="4"/>
      <c r="C21" s="5"/>
      <c r="D21" s="5"/>
      <c r="E21" s="5"/>
      <c r="F21" s="5"/>
      <c r="G21" s="5"/>
    </row>
    <row r="22" ht="15.75" customHeight="1">
      <c r="A22" s="4"/>
      <c r="B22" s="4"/>
      <c r="C22" s="5"/>
      <c r="D22" s="5"/>
      <c r="E22" s="5"/>
      <c r="F22" s="5"/>
      <c r="G22" s="5"/>
    </row>
    <row r="23" ht="15.75" customHeight="1">
      <c r="A23" s="4"/>
      <c r="B23" s="4"/>
      <c r="C23" s="5"/>
      <c r="D23" s="5"/>
      <c r="E23" s="5"/>
      <c r="F23" s="5"/>
      <c r="G23" s="5"/>
    </row>
    <row r="24" ht="15.75" customHeight="1">
      <c r="A24" s="4"/>
      <c r="B24" s="4"/>
      <c r="C24" s="5"/>
      <c r="D24" s="5"/>
      <c r="E24" s="5"/>
      <c r="F24" s="5"/>
      <c r="G24" s="5"/>
    </row>
    <row r="25" ht="15.75" customHeight="1">
      <c r="A25" s="4"/>
      <c r="B25" s="4"/>
      <c r="C25" s="5"/>
      <c r="D25" s="5"/>
      <c r="E25" s="5"/>
      <c r="F25" s="5"/>
      <c r="G25" s="5"/>
    </row>
    <row r="26" ht="15.75" customHeight="1">
      <c r="A26" s="4"/>
      <c r="B26" s="4"/>
      <c r="C26" s="5"/>
      <c r="D26" s="5"/>
      <c r="E26" s="5"/>
      <c r="F26" s="5"/>
      <c r="G26" s="5"/>
    </row>
    <row r="27" ht="15.75" customHeight="1">
      <c r="A27" s="4"/>
      <c r="B27" s="4"/>
      <c r="C27" s="5"/>
      <c r="D27" s="5"/>
      <c r="E27" s="5"/>
      <c r="F27" s="5"/>
      <c r="G27" s="5"/>
    </row>
    <row r="28" ht="15.75" customHeight="1">
      <c r="A28" s="4"/>
      <c r="B28" s="4"/>
      <c r="C28" s="5"/>
      <c r="D28" s="5"/>
      <c r="E28" s="5"/>
      <c r="F28" s="5"/>
      <c r="G28" s="5"/>
    </row>
    <row r="29" ht="15.75" customHeight="1">
      <c r="A29" s="4"/>
      <c r="B29" s="4"/>
      <c r="C29" s="5"/>
      <c r="D29" s="5"/>
      <c r="E29" s="5"/>
      <c r="F29" s="5"/>
      <c r="G29" s="5"/>
    </row>
    <row r="30" ht="15.75" customHeight="1">
      <c r="A30" s="4"/>
      <c r="B30" s="4"/>
      <c r="C30" s="5"/>
      <c r="D30" s="5"/>
      <c r="E30" s="5"/>
      <c r="F30" s="5"/>
      <c r="G30" s="5"/>
    </row>
    <row r="31" ht="15.75" customHeight="1">
      <c r="A31" s="4"/>
      <c r="B31" s="4"/>
      <c r="C31" s="5"/>
      <c r="D31" s="5"/>
      <c r="E31" s="5"/>
      <c r="F31" s="5"/>
      <c r="G31" s="5"/>
    </row>
    <row r="32" ht="15.75" customHeight="1">
      <c r="A32" s="4"/>
      <c r="B32" s="4"/>
      <c r="C32" s="5"/>
      <c r="D32" s="5"/>
      <c r="E32" s="5"/>
      <c r="F32" s="5"/>
      <c r="G32" s="5"/>
    </row>
    <row r="33" ht="15.75" customHeight="1">
      <c r="A33" s="4"/>
      <c r="B33" s="4"/>
      <c r="C33" s="5"/>
      <c r="D33" s="5"/>
      <c r="E33" s="5"/>
      <c r="F33" s="5"/>
      <c r="G33" s="5"/>
    </row>
    <row r="34" ht="15.75" customHeight="1">
      <c r="A34" s="4"/>
      <c r="B34" s="4"/>
      <c r="C34" s="5"/>
      <c r="D34" s="5"/>
      <c r="E34" s="5"/>
      <c r="F34" s="5"/>
      <c r="G34" s="5"/>
    </row>
    <row r="35" ht="15.75" customHeight="1">
      <c r="A35" s="4"/>
      <c r="B35" s="4"/>
      <c r="C35" s="5"/>
      <c r="D35" s="5"/>
      <c r="E35" s="5"/>
      <c r="F35" s="5"/>
      <c r="G35" s="5"/>
    </row>
    <row r="36" ht="15.75" customHeight="1">
      <c r="A36" s="4"/>
      <c r="B36" s="4"/>
      <c r="C36" s="5"/>
      <c r="D36" s="5"/>
      <c r="E36" s="5"/>
      <c r="F36" s="5"/>
      <c r="G36" s="5"/>
    </row>
    <row r="37" ht="15.75" customHeight="1">
      <c r="A37" s="4"/>
      <c r="B37" s="4"/>
      <c r="C37" s="5"/>
      <c r="D37" s="5"/>
      <c r="E37" s="5"/>
      <c r="F37" s="5"/>
      <c r="G37" s="5"/>
    </row>
    <row r="38" ht="15.75" customHeight="1">
      <c r="A38" s="4"/>
      <c r="B38" s="4"/>
      <c r="C38" s="5"/>
      <c r="D38" s="5"/>
      <c r="E38" s="5"/>
      <c r="F38" s="5"/>
      <c r="G38" s="5"/>
    </row>
    <row r="39" ht="15.75" customHeight="1">
      <c r="A39" s="4"/>
      <c r="B39" s="4"/>
      <c r="C39" s="5"/>
      <c r="D39" s="5"/>
      <c r="E39" s="5"/>
      <c r="F39" s="5"/>
      <c r="G39" s="5"/>
    </row>
    <row r="40" ht="15.75" customHeight="1">
      <c r="A40" s="4"/>
      <c r="B40" s="4"/>
      <c r="C40" s="5"/>
      <c r="D40" s="5"/>
      <c r="E40" s="5"/>
      <c r="F40" s="5"/>
      <c r="G40" s="5"/>
    </row>
    <row r="41" ht="15.75" customHeight="1">
      <c r="A41" s="4"/>
      <c r="B41" s="4"/>
      <c r="C41" s="5"/>
      <c r="D41" s="5"/>
      <c r="E41" s="5"/>
      <c r="F41" s="5"/>
      <c r="G41" s="5"/>
    </row>
    <row r="42" ht="15.75" customHeight="1">
      <c r="A42" s="4"/>
      <c r="B42" s="4"/>
      <c r="C42" s="5"/>
      <c r="D42" s="5"/>
      <c r="E42" s="5"/>
      <c r="F42" s="5"/>
      <c r="G42" s="5"/>
    </row>
    <row r="43" ht="15.75" customHeight="1">
      <c r="A43" s="4"/>
      <c r="B43" s="4"/>
      <c r="C43" s="5"/>
      <c r="D43" s="5"/>
      <c r="E43" s="5"/>
      <c r="F43" s="5"/>
      <c r="G43" s="5"/>
    </row>
    <row r="44" ht="15.75" customHeight="1">
      <c r="A44" s="4"/>
      <c r="B44" s="4"/>
      <c r="C44" s="5"/>
      <c r="D44" s="5"/>
      <c r="E44" s="5"/>
      <c r="F44" s="5"/>
      <c r="G44" s="5"/>
    </row>
    <row r="45" ht="15.75" customHeight="1">
      <c r="A45" s="4"/>
      <c r="B45" s="4"/>
      <c r="C45" s="5"/>
      <c r="D45" s="5"/>
      <c r="E45" s="5"/>
      <c r="F45" s="5"/>
      <c r="G45" s="5"/>
    </row>
    <row r="46" ht="15.75" customHeight="1">
      <c r="A46" s="4"/>
      <c r="B46" s="4"/>
      <c r="C46" s="5"/>
      <c r="D46" s="5"/>
      <c r="E46" s="5"/>
      <c r="F46" s="5"/>
      <c r="G46" s="5"/>
    </row>
    <row r="47" ht="15.75" customHeight="1">
      <c r="A47" s="4"/>
      <c r="B47" s="4"/>
      <c r="C47" s="5"/>
      <c r="D47" s="5"/>
      <c r="E47" s="5"/>
      <c r="F47" s="5"/>
      <c r="G47" s="5"/>
    </row>
    <row r="48" ht="15.75" customHeight="1">
      <c r="A48" s="4"/>
      <c r="B48" s="4"/>
      <c r="C48" s="5"/>
      <c r="D48" s="5"/>
      <c r="E48" s="5"/>
      <c r="F48" s="5"/>
      <c r="G48" s="5"/>
    </row>
    <row r="49" ht="15.75" customHeight="1">
      <c r="A49" s="4"/>
      <c r="B49" s="4"/>
      <c r="C49" s="5"/>
      <c r="D49" s="5"/>
      <c r="E49" s="5"/>
      <c r="F49" s="5"/>
      <c r="G49" s="5"/>
    </row>
    <row r="50" ht="15.75" customHeight="1">
      <c r="A50" s="4"/>
      <c r="B50" s="4"/>
      <c r="C50" s="5"/>
      <c r="D50" s="5"/>
      <c r="E50" s="5"/>
      <c r="F50" s="5"/>
      <c r="G50" s="5"/>
    </row>
    <row r="51" ht="15.75" customHeight="1">
      <c r="A51" s="4"/>
      <c r="B51" s="4"/>
      <c r="C51" s="5"/>
      <c r="D51" s="5"/>
      <c r="E51" s="5"/>
      <c r="F51" s="5"/>
      <c r="G51" s="5"/>
    </row>
    <row r="52" ht="15.75" customHeight="1">
      <c r="A52" s="4"/>
      <c r="B52" s="4"/>
      <c r="C52" s="5"/>
      <c r="D52" s="5"/>
      <c r="E52" s="5"/>
      <c r="F52" s="5"/>
      <c r="G52" s="5"/>
    </row>
    <row r="53" ht="15.75" customHeight="1">
      <c r="A53" s="4"/>
      <c r="B53" s="4"/>
      <c r="C53" s="5"/>
      <c r="D53" s="5"/>
      <c r="E53" s="5"/>
      <c r="F53" s="5"/>
      <c r="G53" s="5"/>
    </row>
    <row r="54" ht="15.75" customHeight="1">
      <c r="A54" s="4"/>
      <c r="B54" s="4"/>
      <c r="C54" s="5"/>
      <c r="D54" s="5"/>
      <c r="E54" s="5"/>
      <c r="F54" s="5"/>
      <c r="G54" s="5"/>
    </row>
    <row r="55" ht="15.75" customHeight="1">
      <c r="A55" s="4"/>
      <c r="B55" s="4"/>
      <c r="C55" s="5"/>
      <c r="D55" s="5"/>
      <c r="E55" s="5"/>
      <c r="F55" s="5"/>
      <c r="G55" s="5"/>
    </row>
    <row r="56" ht="15.75" customHeight="1">
      <c r="A56" s="4"/>
      <c r="B56" s="4"/>
      <c r="C56" s="5"/>
      <c r="D56" s="5"/>
      <c r="E56" s="5"/>
      <c r="F56" s="5"/>
      <c r="G56" s="5"/>
    </row>
    <row r="57" ht="15.75" customHeight="1">
      <c r="A57" s="4"/>
      <c r="B57" s="4"/>
      <c r="C57" s="5"/>
      <c r="D57" s="5"/>
      <c r="E57" s="5"/>
      <c r="F57" s="5"/>
      <c r="G57" s="5"/>
    </row>
    <row r="58" ht="15.75" customHeight="1">
      <c r="A58" s="4"/>
      <c r="B58" s="4"/>
      <c r="C58" s="5"/>
      <c r="D58" s="5"/>
      <c r="E58" s="5"/>
      <c r="F58" s="5"/>
      <c r="G58" s="5"/>
    </row>
    <row r="59" ht="15.75" customHeight="1">
      <c r="A59" s="4"/>
      <c r="B59" s="4"/>
      <c r="C59" s="5"/>
      <c r="D59" s="5"/>
      <c r="E59" s="5"/>
      <c r="F59" s="5"/>
      <c r="G59" s="5"/>
    </row>
    <row r="60" ht="15.75" customHeight="1">
      <c r="A60" s="4"/>
      <c r="B60" s="4"/>
      <c r="C60" s="5"/>
      <c r="D60" s="5"/>
      <c r="E60" s="5"/>
      <c r="F60" s="5"/>
      <c r="G60" s="5"/>
    </row>
    <row r="61" ht="15.75" customHeight="1">
      <c r="A61" s="4"/>
      <c r="B61" s="4"/>
      <c r="C61" s="5"/>
      <c r="D61" s="5"/>
      <c r="E61" s="5"/>
      <c r="F61" s="5"/>
      <c r="G61" s="5"/>
    </row>
    <row r="62" ht="15.75" customHeight="1">
      <c r="A62" s="4"/>
      <c r="B62" s="4"/>
      <c r="C62" s="5"/>
      <c r="D62" s="5"/>
      <c r="E62" s="5"/>
      <c r="F62" s="5"/>
      <c r="G62" s="5"/>
    </row>
    <row r="63" ht="15.75" customHeight="1">
      <c r="A63" s="4"/>
      <c r="B63" s="4"/>
      <c r="C63" s="5"/>
      <c r="D63" s="5"/>
      <c r="E63" s="5"/>
      <c r="F63" s="5"/>
      <c r="G63" s="5"/>
    </row>
    <row r="64" ht="15.75" customHeight="1">
      <c r="A64" s="4"/>
      <c r="B64" s="4"/>
      <c r="C64" s="5"/>
      <c r="D64" s="5"/>
      <c r="E64" s="5"/>
      <c r="F64" s="5"/>
      <c r="G64" s="5"/>
    </row>
    <row r="65" ht="15.75" customHeight="1">
      <c r="A65" s="4"/>
      <c r="B65" s="4"/>
      <c r="C65" s="5"/>
      <c r="D65" s="5"/>
      <c r="E65" s="5"/>
      <c r="F65" s="5"/>
      <c r="G65" s="5"/>
    </row>
    <row r="66" ht="15.75" customHeight="1">
      <c r="A66" s="4"/>
      <c r="B66" s="4"/>
      <c r="C66" s="5"/>
      <c r="D66" s="5"/>
      <c r="E66" s="5"/>
      <c r="F66" s="5"/>
      <c r="G66" s="5"/>
    </row>
    <row r="67" ht="15.75" customHeight="1">
      <c r="A67" s="4"/>
      <c r="B67" s="4"/>
      <c r="C67" s="5"/>
      <c r="D67" s="5"/>
      <c r="E67" s="5"/>
      <c r="F67" s="5"/>
      <c r="G67" s="5"/>
    </row>
    <row r="68" ht="15.75" customHeight="1">
      <c r="A68" s="4"/>
      <c r="B68" s="4"/>
      <c r="C68" s="5"/>
      <c r="D68" s="5"/>
      <c r="E68" s="5"/>
      <c r="F68" s="5"/>
      <c r="G68" s="5"/>
    </row>
    <row r="69" ht="15.75" customHeight="1">
      <c r="A69" s="4"/>
      <c r="B69" s="4"/>
      <c r="C69" s="5"/>
      <c r="D69" s="5"/>
      <c r="E69" s="5"/>
      <c r="F69" s="5"/>
      <c r="G69" s="5"/>
    </row>
    <row r="70" ht="15.75" customHeight="1">
      <c r="A70" s="4"/>
      <c r="B70" s="4"/>
      <c r="C70" s="5"/>
      <c r="D70" s="5"/>
      <c r="E70" s="5"/>
      <c r="F70" s="5"/>
      <c r="G70" s="5"/>
    </row>
    <row r="71" ht="15.75" customHeight="1">
      <c r="A71" s="4"/>
      <c r="B71" s="4"/>
      <c r="C71" s="5"/>
      <c r="D71" s="5"/>
      <c r="E71" s="5"/>
      <c r="F71" s="5"/>
      <c r="G71" s="5"/>
    </row>
    <row r="72" ht="15.75" customHeight="1">
      <c r="A72" s="4"/>
      <c r="B72" s="4"/>
      <c r="C72" s="5"/>
      <c r="D72" s="5"/>
      <c r="E72" s="5"/>
      <c r="F72" s="5"/>
      <c r="G72" s="5"/>
    </row>
    <row r="73" ht="15.75" customHeight="1">
      <c r="A73" s="4"/>
      <c r="B73" s="4"/>
      <c r="C73" s="5"/>
      <c r="D73" s="5"/>
      <c r="E73" s="5"/>
      <c r="F73" s="5"/>
      <c r="G73" s="5"/>
    </row>
    <row r="74" ht="15.75" customHeight="1">
      <c r="A74" s="4"/>
      <c r="B74" s="4"/>
      <c r="C74" s="5"/>
      <c r="D74" s="5"/>
      <c r="E74" s="5"/>
      <c r="F74" s="5"/>
      <c r="G74" s="5"/>
    </row>
    <row r="75" ht="15.75" customHeight="1">
      <c r="A75" s="4"/>
      <c r="B75" s="4"/>
      <c r="C75" s="5"/>
      <c r="D75" s="5"/>
      <c r="E75" s="5"/>
      <c r="F75" s="5"/>
      <c r="G75" s="5"/>
    </row>
    <row r="76" ht="15.75" customHeight="1">
      <c r="A76" s="4"/>
      <c r="B76" s="4"/>
      <c r="C76" s="5"/>
      <c r="D76" s="5"/>
      <c r="E76" s="5"/>
      <c r="F76" s="5"/>
      <c r="G76" s="5"/>
    </row>
    <row r="77" ht="15.75" customHeight="1">
      <c r="A77" s="4"/>
      <c r="B77" s="4"/>
      <c r="C77" s="5"/>
      <c r="D77" s="5"/>
      <c r="E77" s="5"/>
      <c r="F77" s="5"/>
      <c r="G77" s="5"/>
    </row>
    <row r="78" ht="15.75" customHeight="1">
      <c r="A78" s="4"/>
      <c r="B78" s="4"/>
      <c r="C78" s="5"/>
      <c r="D78" s="5"/>
      <c r="E78" s="5"/>
      <c r="F78" s="5"/>
      <c r="G78" s="5"/>
    </row>
    <row r="79" ht="15.75" customHeight="1">
      <c r="A79" s="4"/>
      <c r="B79" s="4"/>
      <c r="C79" s="5"/>
      <c r="D79" s="5"/>
      <c r="E79" s="5"/>
      <c r="F79" s="5"/>
      <c r="G79" s="5"/>
    </row>
    <row r="80" ht="15.75" customHeight="1">
      <c r="A80" s="4"/>
      <c r="B80" s="4"/>
      <c r="C80" s="5"/>
      <c r="D80" s="5"/>
      <c r="E80" s="5"/>
      <c r="F80" s="5"/>
      <c r="G80" s="5"/>
    </row>
    <row r="81" ht="15.75" customHeight="1">
      <c r="A81" s="4"/>
      <c r="B81" s="4"/>
      <c r="C81" s="5"/>
      <c r="D81" s="5"/>
      <c r="E81" s="5"/>
      <c r="F81" s="5"/>
      <c r="G81" s="5"/>
    </row>
    <row r="82" ht="15.75" customHeight="1">
      <c r="A82" s="4"/>
      <c r="B82" s="4"/>
      <c r="C82" s="5"/>
      <c r="D82" s="5"/>
      <c r="E82" s="5"/>
      <c r="F82" s="5"/>
      <c r="G82" s="5"/>
    </row>
    <row r="83" ht="15.75" customHeight="1">
      <c r="A83" s="4"/>
      <c r="B83" s="4"/>
      <c r="C83" s="5"/>
      <c r="D83" s="5"/>
      <c r="E83" s="5"/>
      <c r="F83" s="5"/>
      <c r="G83" s="5"/>
    </row>
    <row r="84" ht="15.75" customHeight="1">
      <c r="A84" s="4"/>
      <c r="B84" s="4"/>
      <c r="C84" s="5"/>
      <c r="D84" s="5"/>
      <c r="E84" s="5"/>
      <c r="F84" s="5"/>
      <c r="G84" s="5"/>
    </row>
    <row r="85" ht="15.75" customHeight="1">
      <c r="A85" s="4"/>
      <c r="B85" s="4"/>
      <c r="C85" s="5"/>
      <c r="D85" s="5"/>
      <c r="E85" s="5"/>
      <c r="F85" s="5"/>
      <c r="G85" s="5"/>
    </row>
    <row r="86" ht="15.75" customHeight="1">
      <c r="A86" s="4"/>
      <c r="B86" s="4"/>
      <c r="C86" s="5"/>
      <c r="D86" s="5"/>
      <c r="E86" s="5"/>
      <c r="F86" s="5"/>
      <c r="G86" s="5"/>
    </row>
    <row r="87" ht="15.75" customHeight="1">
      <c r="A87" s="4"/>
      <c r="B87" s="4"/>
      <c r="C87" s="5"/>
      <c r="D87" s="5"/>
      <c r="E87" s="5"/>
      <c r="F87" s="5"/>
      <c r="G87" s="5"/>
    </row>
    <row r="88" ht="15.75" customHeight="1">
      <c r="A88" s="4"/>
      <c r="B88" s="4"/>
      <c r="C88" s="5"/>
      <c r="D88" s="5"/>
      <c r="E88" s="5"/>
      <c r="F88" s="5"/>
      <c r="G88" s="5"/>
    </row>
    <row r="89" ht="15.75" customHeight="1">
      <c r="A89" s="4"/>
      <c r="B89" s="4"/>
      <c r="C89" s="5"/>
      <c r="D89" s="5"/>
      <c r="E89" s="5"/>
      <c r="F89" s="5"/>
      <c r="G89" s="5"/>
    </row>
    <row r="90" ht="15.75" customHeight="1">
      <c r="A90" s="4"/>
      <c r="B90" s="4"/>
      <c r="C90" s="5"/>
      <c r="D90" s="5"/>
      <c r="E90" s="5"/>
      <c r="F90" s="5"/>
      <c r="G90" s="5"/>
    </row>
    <row r="91" ht="15.75" customHeight="1">
      <c r="A91" s="4"/>
      <c r="B91" s="4"/>
      <c r="C91" s="5"/>
      <c r="D91" s="5"/>
      <c r="E91" s="5"/>
      <c r="F91" s="5"/>
      <c r="G91" s="5"/>
    </row>
    <row r="92" ht="15.75" customHeight="1">
      <c r="A92" s="4"/>
      <c r="B92" s="4"/>
      <c r="C92" s="5"/>
      <c r="D92" s="5"/>
      <c r="E92" s="5"/>
      <c r="F92" s="5"/>
      <c r="G92" s="5"/>
    </row>
    <row r="93" ht="15.75" customHeight="1">
      <c r="A93" s="4"/>
      <c r="B93" s="4"/>
      <c r="C93" s="5"/>
      <c r="D93" s="5"/>
      <c r="E93" s="5"/>
      <c r="F93" s="5"/>
      <c r="G93" s="5"/>
    </row>
    <row r="94" ht="15.75" customHeight="1">
      <c r="A94" s="4"/>
      <c r="B94" s="4"/>
      <c r="C94" s="5"/>
      <c r="D94" s="5"/>
      <c r="E94" s="5"/>
      <c r="F94" s="5"/>
      <c r="G94" s="5"/>
    </row>
    <row r="95" ht="15.75" customHeight="1">
      <c r="A95" s="4"/>
      <c r="B95" s="4"/>
      <c r="C95" s="5"/>
      <c r="D95" s="5"/>
      <c r="E95" s="5"/>
      <c r="F95" s="5"/>
      <c r="G95" s="5"/>
    </row>
    <row r="96" ht="15.75" customHeight="1">
      <c r="A96" s="4"/>
      <c r="B96" s="4"/>
      <c r="C96" s="5"/>
      <c r="D96" s="5"/>
      <c r="E96" s="5"/>
      <c r="F96" s="5"/>
      <c r="G96" s="5"/>
    </row>
    <row r="97" ht="15.75" customHeight="1">
      <c r="A97" s="4"/>
      <c r="B97" s="4"/>
      <c r="C97" s="5"/>
      <c r="D97" s="5"/>
      <c r="E97" s="5"/>
      <c r="F97" s="5"/>
      <c r="G97" s="5"/>
    </row>
    <row r="98" ht="15.75" customHeight="1">
      <c r="A98" s="4"/>
      <c r="B98" s="4"/>
      <c r="C98" s="5"/>
      <c r="D98" s="5"/>
      <c r="E98" s="5"/>
      <c r="F98" s="5"/>
      <c r="G98" s="5"/>
    </row>
    <row r="99" ht="15.75" customHeight="1">
      <c r="A99" s="4"/>
      <c r="B99" s="4"/>
      <c r="C99" s="5"/>
      <c r="D99" s="5"/>
      <c r="E99" s="5"/>
      <c r="F99" s="5"/>
      <c r="G99" s="5"/>
    </row>
    <row r="100" ht="15.75" customHeight="1">
      <c r="A100" s="4"/>
      <c r="B100" s="4"/>
      <c r="C100" s="5"/>
      <c r="D100" s="5"/>
      <c r="E100" s="5"/>
      <c r="F100" s="5"/>
      <c r="G100" s="5"/>
    </row>
    <row r="101" ht="15.75" customHeight="1">
      <c r="A101" s="4"/>
      <c r="B101" s="4"/>
      <c r="C101" s="5"/>
      <c r="D101" s="5"/>
      <c r="E101" s="5"/>
      <c r="F101" s="5"/>
      <c r="G101" s="5"/>
    </row>
    <row r="102" ht="15.75" customHeight="1">
      <c r="A102" s="4"/>
      <c r="B102" s="4"/>
      <c r="C102" s="5"/>
      <c r="D102" s="5"/>
      <c r="E102" s="5"/>
      <c r="F102" s="5"/>
      <c r="G102" s="5"/>
    </row>
    <row r="103" ht="15.75" customHeight="1">
      <c r="A103" s="4"/>
      <c r="B103" s="4"/>
      <c r="C103" s="5"/>
      <c r="D103" s="5"/>
      <c r="E103" s="5"/>
      <c r="F103" s="5"/>
      <c r="G103" s="5"/>
    </row>
    <row r="104" ht="15.75" customHeight="1">
      <c r="A104" s="4"/>
      <c r="B104" s="4"/>
      <c r="C104" s="5"/>
      <c r="D104" s="5"/>
      <c r="E104" s="5"/>
      <c r="F104" s="5"/>
      <c r="G104" s="5"/>
    </row>
    <row r="105" ht="15.75" customHeight="1">
      <c r="A105" s="4"/>
      <c r="B105" s="4"/>
      <c r="C105" s="5"/>
      <c r="D105" s="5"/>
      <c r="E105" s="5"/>
      <c r="F105" s="5"/>
      <c r="G105" s="5"/>
    </row>
    <row r="106" ht="15.75" customHeight="1">
      <c r="A106" s="4"/>
      <c r="B106" s="4"/>
      <c r="C106" s="5"/>
      <c r="D106" s="5"/>
      <c r="E106" s="5"/>
      <c r="F106" s="5"/>
      <c r="G106" s="5"/>
    </row>
    <row r="107" ht="15.75" customHeight="1">
      <c r="A107" s="4"/>
      <c r="B107" s="4"/>
      <c r="C107" s="5"/>
      <c r="D107" s="5"/>
      <c r="E107" s="5"/>
      <c r="F107" s="5"/>
      <c r="G107" s="5"/>
    </row>
    <row r="108" ht="15.75" customHeight="1">
      <c r="A108" s="4"/>
      <c r="B108" s="4"/>
      <c r="C108" s="5"/>
      <c r="D108" s="5"/>
      <c r="E108" s="5"/>
      <c r="F108" s="5"/>
      <c r="G108" s="5"/>
    </row>
    <row r="109" ht="15.75" customHeight="1">
      <c r="A109" s="4"/>
      <c r="B109" s="4"/>
      <c r="C109" s="5"/>
      <c r="D109" s="5"/>
      <c r="E109" s="5"/>
      <c r="F109" s="5"/>
      <c r="G109" s="5"/>
    </row>
    <row r="110" ht="15.75" customHeight="1">
      <c r="A110" s="4"/>
      <c r="B110" s="4"/>
      <c r="C110" s="5"/>
      <c r="D110" s="5"/>
      <c r="E110" s="5"/>
      <c r="F110" s="5"/>
      <c r="G110" s="5"/>
    </row>
    <row r="111" ht="15.75" customHeight="1">
      <c r="A111" s="4"/>
      <c r="B111" s="4"/>
      <c r="C111" s="5"/>
      <c r="D111" s="5"/>
      <c r="E111" s="5"/>
      <c r="F111" s="5"/>
      <c r="G111" s="5"/>
    </row>
    <row r="112" ht="15.75" customHeight="1">
      <c r="A112" s="4"/>
      <c r="B112" s="4"/>
      <c r="C112" s="5"/>
      <c r="D112" s="5"/>
      <c r="E112" s="5"/>
      <c r="F112" s="5"/>
      <c r="G112" s="5"/>
    </row>
    <row r="113" ht="15.75" customHeight="1">
      <c r="A113" s="4"/>
      <c r="B113" s="4"/>
      <c r="C113" s="5"/>
      <c r="D113" s="5"/>
      <c r="E113" s="5"/>
      <c r="F113" s="5"/>
      <c r="G113" s="5"/>
    </row>
    <row r="114" ht="15.75" customHeight="1">
      <c r="A114" s="4"/>
      <c r="B114" s="4"/>
      <c r="C114" s="5"/>
      <c r="D114" s="5"/>
      <c r="E114" s="5"/>
      <c r="F114" s="5"/>
      <c r="G114" s="5"/>
    </row>
    <row r="115" ht="15.75" customHeight="1">
      <c r="A115" s="4"/>
      <c r="B115" s="4"/>
      <c r="C115" s="5"/>
      <c r="D115" s="5"/>
      <c r="E115" s="5"/>
      <c r="F115" s="5"/>
      <c r="G115" s="5"/>
    </row>
    <row r="116" ht="15.75" customHeight="1">
      <c r="A116" s="4"/>
      <c r="B116" s="4"/>
      <c r="C116" s="5"/>
      <c r="D116" s="5"/>
      <c r="E116" s="5"/>
      <c r="F116" s="5"/>
      <c r="G116" s="5"/>
    </row>
    <row r="117" ht="15.75" customHeight="1">
      <c r="A117" s="4"/>
      <c r="B117" s="4"/>
      <c r="C117" s="5"/>
      <c r="D117" s="5"/>
      <c r="E117" s="5"/>
      <c r="F117" s="5"/>
      <c r="G117" s="5"/>
    </row>
    <row r="118" ht="15.75" customHeight="1">
      <c r="A118" s="4"/>
      <c r="B118" s="4"/>
      <c r="C118" s="5"/>
      <c r="D118" s="5"/>
      <c r="E118" s="5"/>
      <c r="F118" s="5"/>
      <c r="G118" s="5"/>
    </row>
    <row r="119" ht="15.75" customHeight="1">
      <c r="A119" s="4"/>
      <c r="B119" s="4"/>
      <c r="C119" s="5"/>
      <c r="D119" s="5"/>
      <c r="E119" s="5"/>
      <c r="F119" s="5"/>
      <c r="G119" s="5"/>
    </row>
    <row r="120" ht="15.75" customHeight="1">
      <c r="A120" s="4"/>
      <c r="B120" s="4"/>
      <c r="C120" s="5"/>
      <c r="D120" s="5"/>
      <c r="E120" s="5"/>
      <c r="F120" s="5"/>
      <c r="G120" s="5"/>
    </row>
    <row r="121" ht="15.75" customHeight="1">
      <c r="A121" s="4"/>
      <c r="B121" s="4"/>
      <c r="C121" s="5"/>
      <c r="D121" s="5"/>
      <c r="E121" s="5"/>
      <c r="F121" s="5"/>
      <c r="G121" s="5"/>
    </row>
    <row r="122" ht="15.75" customHeight="1">
      <c r="A122" s="4"/>
      <c r="B122" s="4"/>
      <c r="C122" s="5"/>
      <c r="D122" s="5"/>
      <c r="E122" s="5"/>
      <c r="F122" s="5"/>
      <c r="G122" s="5"/>
    </row>
    <row r="123" ht="15.75" customHeight="1">
      <c r="A123" s="4"/>
      <c r="B123" s="4"/>
      <c r="C123" s="5"/>
      <c r="D123" s="5"/>
      <c r="E123" s="5"/>
      <c r="F123" s="5"/>
      <c r="G123" s="5"/>
    </row>
    <row r="124" ht="15.75" customHeight="1">
      <c r="A124" s="4"/>
      <c r="B124" s="4"/>
      <c r="C124" s="5"/>
      <c r="D124" s="5"/>
      <c r="E124" s="5"/>
      <c r="F124" s="5"/>
      <c r="G124" s="5"/>
    </row>
    <row r="125" ht="15.75" customHeight="1">
      <c r="A125" s="4"/>
      <c r="B125" s="4"/>
      <c r="C125" s="5"/>
      <c r="D125" s="5"/>
      <c r="E125" s="5"/>
      <c r="F125" s="5"/>
      <c r="G125" s="5"/>
    </row>
    <row r="126" ht="15.75" customHeight="1">
      <c r="A126" s="4"/>
      <c r="B126" s="4"/>
      <c r="C126" s="5"/>
      <c r="D126" s="5"/>
      <c r="E126" s="5"/>
      <c r="F126" s="5"/>
      <c r="G126" s="5"/>
    </row>
    <row r="127" ht="15.75" customHeight="1">
      <c r="A127" s="4"/>
      <c r="B127" s="4"/>
      <c r="C127" s="5"/>
      <c r="D127" s="5"/>
      <c r="E127" s="5"/>
      <c r="F127" s="5"/>
      <c r="G127" s="5"/>
    </row>
    <row r="128" ht="15.75" customHeight="1">
      <c r="A128" s="4"/>
      <c r="B128" s="4"/>
      <c r="C128" s="5"/>
      <c r="D128" s="5"/>
      <c r="E128" s="5"/>
      <c r="F128" s="5"/>
      <c r="G128" s="5"/>
    </row>
    <row r="129" ht="15.75" customHeight="1">
      <c r="A129" s="4"/>
      <c r="B129" s="4"/>
      <c r="C129" s="5"/>
      <c r="D129" s="5"/>
      <c r="E129" s="5"/>
      <c r="F129" s="5"/>
      <c r="G129" s="5"/>
    </row>
    <row r="130" ht="15.75" customHeight="1">
      <c r="A130" s="4"/>
      <c r="B130" s="4"/>
      <c r="C130" s="5"/>
      <c r="D130" s="5"/>
      <c r="E130" s="5"/>
      <c r="F130" s="5"/>
      <c r="G130" s="5"/>
    </row>
    <row r="131" ht="15.75" customHeight="1">
      <c r="A131" s="4"/>
      <c r="B131" s="4"/>
      <c r="C131" s="5"/>
      <c r="D131" s="5"/>
      <c r="E131" s="5"/>
      <c r="F131" s="5"/>
      <c r="G131" s="5"/>
    </row>
    <row r="132" ht="15.75" customHeight="1">
      <c r="A132" s="4"/>
      <c r="B132" s="4"/>
      <c r="C132" s="5"/>
      <c r="D132" s="5"/>
      <c r="E132" s="5"/>
      <c r="F132" s="5"/>
      <c r="G132" s="5"/>
    </row>
    <row r="133" ht="15.75" customHeight="1">
      <c r="A133" s="4"/>
      <c r="B133" s="4"/>
      <c r="C133" s="5"/>
      <c r="D133" s="5"/>
      <c r="E133" s="5"/>
      <c r="F133" s="5"/>
      <c r="G133" s="5"/>
    </row>
    <row r="134" ht="15.75" customHeight="1">
      <c r="A134" s="4"/>
      <c r="B134" s="4"/>
      <c r="C134" s="5"/>
      <c r="D134" s="5"/>
      <c r="E134" s="5"/>
      <c r="F134" s="5"/>
      <c r="G134" s="5"/>
    </row>
    <row r="135" ht="15.75" customHeight="1">
      <c r="A135" s="4"/>
      <c r="B135" s="4"/>
      <c r="C135" s="5"/>
      <c r="D135" s="5"/>
      <c r="E135" s="5"/>
      <c r="F135" s="5"/>
      <c r="G135" s="5"/>
    </row>
    <row r="136" ht="15.75" customHeight="1">
      <c r="A136" s="4"/>
      <c r="B136" s="4"/>
      <c r="C136" s="5"/>
      <c r="D136" s="5"/>
      <c r="E136" s="5"/>
      <c r="F136" s="5"/>
      <c r="G136" s="5"/>
    </row>
    <row r="137" ht="15.75" customHeight="1">
      <c r="A137" s="4"/>
      <c r="B137" s="4"/>
      <c r="C137" s="5"/>
      <c r="D137" s="5"/>
      <c r="E137" s="5"/>
      <c r="F137" s="5"/>
      <c r="G137" s="5"/>
    </row>
    <row r="138" ht="15.75" customHeight="1">
      <c r="A138" s="4"/>
      <c r="B138" s="4"/>
      <c r="C138" s="5"/>
      <c r="D138" s="5"/>
      <c r="E138" s="5"/>
      <c r="F138" s="5"/>
      <c r="G138" s="5"/>
    </row>
    <row r="139" ht="15.75" customHeight="1">
      <c r="A139" s="4"/>
      <c r="B139" s="4"/>
      <c r="C139" s="5"/>
      <c r="D139" s="5"/>
      <c r="E139" s="5"/>
      <c r="F139" s="5"/>
      <c r="G139" s="5"/>
    </row>
    <row r="140" ht="15.75" customHeight="1">
      <c r="A140" s="4"/>
      <c r="B140" s="4"/>
      <c r="C140" s="5"/>
      <c r="D140" s="5"/>
      <c r="E140" s="5"/>
      <c r="F140" s="5"/>
      <c r="G140" s="5"/>
    </row>
    <row r="141" ht="15.75" customHeight="1">
      <c r="A141" s="4"/>
      <c r="B141" s="4"/>
      <c r="C141" s="5"/>
      <c r="D141" s="5"/>
      <c r="E141" s="5"/>
      <c r="F141" s="5"/>
      <c r="G141" s="5"/>
    </row>
    <row r="142" ht="15.75" customHeight="1">
      <c r="A142" s="4"/>
      <c r="B142" s="4"/>
      <c r="C142" s="5"/>
      <c r="D142" s="5"/>
      <c r="E142" s="5"/>
      <c r="F142" s="5"/>
      <c r="G142" s="5"/>
    </row>
    <row r="143" ht="15.75" customHeight="1">
      <c r="A143" s="4"/>
      <c r="B143" s="4"/>
      <c r="C143" s="5"/>
      <c r="D143" s="5"/>
      <c r="E143" s="5"/>
      <c r="F143" s="5"/>
      <c r="G143" s="5"/>
    </row>
    <row r="144" ht="15.75" customHeight="1">
      <c r="A144" s="4"/>
      <c r="B144" s="4"/>
      <c r="C144" s="5"/>
      <c r="D144" s="5"/>
      <c r="E144" s="5"/>
      <c r="F144" s="5"/>
      <c r="G144" s="5"/>
    </row>
    <row r="145" ht="15.75" customHeight="1">
      <c r="A145" s="4"/>
      <c r="B145" s="4"/>
      <c r="C145" s="5"/>
      <c r="D145" s="5"/>
      <c r="E145" s="5"/>
      <c r="F145" s="5"/>
      <c r="G145" s="5"/>
    </row>
    <row r="146" ht="15.75" customHeight="1">
      <c r="A146" s="4"/>
      <c r="B146" s="4"/>
      <c r="C146" s="5"/>
      <c r="D146" s="5"/>
      <c r="E146" s="5"/>
      <c r="F146" s="5"/>
      <c r="G146" s="5"/>
    </row>
    <row r="147" ht="15.75" customHeight="1">
      <c r="A147" s="4"/>
      <c r="B147" s="4"/>
      <c r="C147" s="5"/>
      <c r="D147" s="5"/>
      <c r="E147" s="5"/>
      <c r="F147" s="5"/>
      <c r="G147" s="5"/>
    </row>
    <row r="148" ht="15.75" customHeight="1">
      <c r="A148" s="4"/>
      <c r="B148" s="4"/>
      <c r="C148" s="5"/>
      <c r="D148" s="5"/>
      <c r="E148" s="5"/>
      <c r="F148" s="5"/>
      <c r="G148" s="5"/>
    </row>
    <row r="149" ht="15.75" customHeight="1">
      <c r="A149" s="4"/>
      <c r="B149" s="4"/>
      <c r="C149" s="5"/>
      <c r="D149" s="5"/>
      <c r="E149" s="5"/>
      <c r="F149" s="5"/>
      <c r="G149" s="5"/>
    </row>
    <row r="150" ht="15.75" customHeight="1">
      <c r="A150" s="4"/>
      <c r="B150" s="4"/>
      <c r="C150" s="5"/>
      <c r="D150" s="5"/>
      <c r="E150" s="5"/>
      <c r="F150" s="5"/>
      <c r="G150" s="5"/>
    </row>
    <row r="151" ht="15.75" customHeight="1">
      <c r="A151" s="4"/>
      <c r="B151" s="4"/>
      <c r="C151" s="5"/>
      <c r="D151" s="5"/>
      <c r="E151" s="5"/>
      <c r="F151" s="5"/>
      <c r="G151" s="5"/>
    </row>
    <row r="152" ht="15.75" customHeight="1">
      <c r="A152" s="4"/>
      <c r="B152" s="4"/>
      <c r="C152" s="5"/>
      <c r="D152" s="5"/>
      <c r="E152" s="5"/>
      <c r="F152" s="5"/>
      <c r="G152" s="5"/>
    </row>
    <row r="153" ht="15.75" customHeight="1">
      <c r="A153" s="4"/>
      <c r="B153" s="4"/>
      <c r="C153" s="5"/>
      <c r="D153" s="5"/>
      <c r="E153" s="5"/>
      <c r="F153" s="5"/>
      <c r="G153" s="5"/>
    </row>
    <row r="154" ht="15.75" customHeight="1">
      <c r="A154" s="4"/>
      <c r="B154" s="4"/>
      <c r="C154" s="5"/>
      <c r="D154" s="5"/>
      <c r="E154" s="5"/>
      <c r="F154" s="5"/>
      <c r="G154" s="5"/>
    </row>
    <row r="155" ht="15.75" customHeight="1">
      <c r="A155" s="4"/>
      <c r="B155" s="4"/>
      <c r="C155" s="5"/>
      <c r="D155" s="5"/>
      <c r="E155" s="5"/>
      <c r="F155" s="5"/>
      <c r="G155" s="5"/>
    </row>
    <row r="156" ht="15.75" customHeight="1">
      <c r="A156" s="4"/>
      <c r="B156" s="4"/>
      <c r="C156" s="5"/>
      <c r="D156" s="5"/>
      <c r="E156" s="5"/>
      <c r="F156" s="5"/>
      <c r="G156" s="5"/>
    </row>
    <row r="157" ht="15.75" customHeight="1">
      <c r="A157" s="4"/>
      <c r="B157" s="4"/>
      <c r="C157" s="5"/>
      <c r="D157" s="5"/>
      <c r="E157" s="5"/>
      <c r="F157" s="5"/>
      <c r="G157" s="5"/>
    </row>
    <row r="158" ht="15.75" customHeight="1">
      <c r="A158" s="4"/>
      <c r="B158" s="4"/>
      <c r="C158" s="5"/>
      <c r="D158" s="5"/>
      <c r="E158" s="5"/>
      <c r="F158" s="5"/>
      <c r="G158" s="5"/>
    </row>
    <row r="159" ht="15.75" customHeight="1">
      <c r="A159" s="4"/>
      <c r="B159" s="4"/>
      <c r="C159" s="5"/>
      <c r="D159" s="5"/>
      <c r="E159" s="5"/>
      <c r="F159" s="5"/>
      <c r="G159" s="5"/>
    </row>
    <row r="160" ht="15.75" customHeight="1">
      <c r="A160" s="4"/>
      <c r="B160" s="4"/>
      <c r="C160" s="5"/>
      <c r="D160" s="5"/>
      <c r="E160" s="5"/>
      <c r="F160" s="5"/>
      <c r="G160" s="5"/>
    </row>
    <row r="161" ht="15.75" customHeight="1">
      <c r="A161" s="4"/>
      <c r="B161" s="4"/>
      <c r="C161" s="5"/>
      <c r="D161" s="5"/>
      <c r="E161" s="5"/>
      <c r="F161" s="5"/>
      <c r="G161" s="5"/>
    </row>
    <row r="162" ht="15.75" customHeight="1">
      <c r="A162" s="4"/>
      <c r="B162" s="4"/>
      <c r="C162" s="5"/>
      <c r="D162" s="5"/>
      <c r="E162" s="5"/>
      <c r="F162" s="5"/>
      <c r="G162" s="5"/>
    </row>
    <row r="163" ht="15.75" customHeight="1">
      <c r="A163" s="4"/>
      <c r="B163" s="4"/>
      <c r="C163" s="5"/>
      <c r="D163" s="5"/>
      <c r="E163" s="5"/>
      <c r="F163" s="5"/>
      <c r="G163" s="5"/>
    </row>
    <row r="164" ht="15.75" customHeight="1">
      <c r="A164" s="4"/>
      <c r="B164" s="4"/>
      <c r="C164" s="5"/>
      <c r="D164" s="5"/>
      <c r="E164" s="5"/>
      <c r="F164" s="5"/>
      <c r="G164" s="5"/>
    </row>
    <row r="165" ht="15.75" customHeight="1">
      <c r="A165" s="4"/>
      <c r="B165" s="4"/>
      <c r="C165" s="5"/>
      <c r="D165" s="5"/>
      <c r="E165" s="5"/>
      <c r="F165" s="5"/>
      <c r="G165" s="5"/>
    </row>
    <row r="166" ht="15.75" customHeight="1">
      <c r="A166" s="4"/>
      <c r="B166" s="4"/>
      <c r="C166" s="5"/>
      <c r="D166" s="5"/>
      <c r="E166" s="5"/>
      <c r="F166" s="5"/>
      <c r="G166" s="5"/>
    </row>
    <row r="167" ht="15.75" customHeight="1">
      <c r="A167" s="4"/>
      <c r="B167" s="4"/>
      <c r="C167" s="5"/>
      <c r="D167" s="5"/>
      <c r="E167" s="5"/>
      <c r="F167" s="5"/>
      <c r="G167" s="5"/>
    </row>
    <row r="168" ht="15.75" customHeight="1">
      <c r="A168" s="4"/>
      <c r="B168" s="4"/>
      <c r="C168" s="5"/>
      <c r="D168" s="5"/>
      <c r="E168" s="5"/>
      <c r="F168" s="5"/>
      <c r="G168" s="5"/>
    </row>
    <row r="169" ht="15.75" customHeight="1">
      <c r="A169" s="4"/>
      <c r="B169" s="4"/>
      <c r="C169" s="5"/>
      <c r="D169" s="5"/>
      <c r="E169" s="5"/>
      <c r="F169" s="5"/>
      <c r="G169" s="5"/>
    </row>
    <row r="170" ht="15.75" customHeight="1">
      <c r="A170" s="4"/>
      <c r="B170" s="4"/>
      <c r="C170" s="5"/>
      <c r="D170" s="5"/>
      <c r="E170" s="5"/>
      <c r="F170" s="5"/>
      <c r="G170" s="5"/>
    </row>
    <row r="171" ht="15.75" customHeight="1">
      <c r="A171" s="4"/>
      <c r="B171" s="4"/>
      <c r="C171" s="5"/>
      <c r="D171" s="5"/>
      <c r="E171" s="5"/>
      <c r="F171" s="5"/>
      <c r="G171" s="5"/>
    </row>
    <row r="172" ht="15.75" customHeight="1">
      <c r="A172" s="4"/>
      <c r="B172" s="4"/>
      <c r="C172" s="5"/>
      <c r="D172" s="5"/>
      <c r="E172" s="5"/>
      <c r="F172" s="5"/>
      <c r="G172" s="5"/>
    </row>
    <row r="173" ht="15.75" customHeight="1">
      <c r="A173" s="4"/>
      <c r="B173" s="4"/>
      <c r="C173" s="5"/>
      <c r="D173" s="5"/>
      <c r="E173" s="5"/>
      <c r="F173" s="5"/>
      <c r="G173" s="5"/>
    </row>
    <row r="174" ht="15.75" customHeight="1">
      <c r="A174" s="4"/>
      <c r="B174" s="4"/>
      <c r="C174" s="5"/>
      <c r="D174" s="5"/>
      <c r="E174" s="5"/>
      <c r="F174" s="5"/>
      <c r="G174" s="5"/>
    </row>
    <row r="175" ht="15.75" customHeight="1">
      <c r="A175" s="4"/>
      <c r="B175" s="4"/>
      <c r="C175" s="5"/>
      <c r="D175" s="5"/>
      <c r="E175" s="5"/>
      <c r="F175" s="5"/>
      <c r="G175" s="5"/>
    </row>
    <row r="176" ht="15.75" customHeight="1">
      <c r="A176" s="4"/>
      <c r="B176" s="4"/>
      <c r="C176" s="5"/>
      <c r="D176" s="5"/>
      <c r="E176" s="5"/>
      <c r="F176" s="5"/>
      <c r="G176" s="5"/>
    </row>
    <row r="177" ht="15.75" customHeight="1">
      <c r="A177" s="4"/>
      <c r="B177" s="4"/>
      <c r="C177" s="5"/>
      <c r="D177" s="5"/>
      <c r="E177" s="5"/>
      <c r="F177" s="5"/>
      <c r="G177" s="5"/>
    </row>
    <row r="178" ht="15.75" customHeight="1">
      <c r="A178" s="4"/>
      <c r="B178" s="4"/>
      <c r="C178" s="5"/>
      <c r="D178" s="5"/>
      <c r="E178" s="5"/>
      <c r="F178" s="5"/>
      <c r="G178" s="5"/>
    </row>
    <row r="179" ht="15.75" customHeight="1">
      <c r="A179" s="4"/>
      <c r="B179" s="4"/>
      <c r="C179" s="5"/>
      <c r="D179" s="5"/>
      <c r="E179" s="5"/>
      <c r="F179" s="5"/>
      <c r="G179" s="5"/>
    </row>
    <row r="180" ht="15.75" customHeight="1">
      <c r="A180" s="4"/>
      <c r="B180" s="4"/>
      <c r="C180" s="5"/>
      <c r="D180" s="5"/>
      <c r="E180" s="5"/>
      <c r="F180" s="5"/>
      <c r="G180" s="5"/>
    </row>
    <row r="181" ht="15.75" customHeight="1">
      <c r="A181" s="4"/>
      <c r="B181" s="4"/>
      <c r="C181" s="5"/>
      <c r="D181" s="5"/>
      <c r="E181" s="5"/>
      <c r="F181" s="5"/>
      <c r="G181" s="5"/>
    </row>
    <row r="182" ht="15.75" customHeight="1">
      <c r="A182" s="4"/>
      <c r="B182" s="4"/>
      <c r="C182" s="5"/>
      <c r="D182" s="5"/>
      <c r="E182" s="5"/>
      <c r="F182" s="5"/>
      <c r="G182" s="5"/>
    </row>
    <row r="183" ht="15.75" customHeight="1">
      <c r="A183" s="4"/>
      <c r="B183" s="4"/>
      <c r="C183" s="5"/>
      <c r="D183" s="5"/>
      <c r="E183" s="5"/>
      <c r="F183" s="5"/>
      <c r="G183" s="5"/>
    </row>
    <row r="184" ht="15.75" customHeight="1">
      <c r="A184" s="4"/>
      <c r="B184" s="4"/>
      <c r="C184" s="5"/>
      <c r="D184" s="5"/>
      <c r="E184" s="5"/>
      <c r="F184" s="5"/>
      <c r="G184" s="5"/>
    </row>
    <row r="185" ht="15.75" customHeight="1">
      <c r="A185" s="4"/>
      <c r="B185" s="4"/>
      <c r="C185" s="5"/>
      <c r="D185" s="5"/>
      <c r="E185" s="5"/>
      <c r="F185" s="5"/>
      <c r="G185" s="5"/>
    </row>
    <row r="186" ht="15.75" customHeight="1">
      <c r="A186" s="4"/>
      <c r="B186" s="4"/>
      <c r="C186" s="5"/>
      <c r="D186" s="5"/>
      <c r="E186" s="5"/>
      <c r="F186" s="5"/>
      <c r="G186" s="5"/>
    </row>
    <row r="187" ht="15.75" customHeight="1">
      <c r="A187" s="4"/>
      <c r="B187" s="4"/>
      <c r="C187" s="5"/>
      <c r="D187" s="5"/>
      <c r="E187" s="5"/>
      <c r="F187" s="5"/>
      <c r="G187" s="5"/>
    </row>
    <row r="188" ht="15.75" customHeight="1">
      <c r="A188" s="4"/>
      <c r="B188" s="4"/>
      <c r="C188" s="5"/>
      <c r="D188" s="5"/>
      <c r="E188" s="5"/>
      <c r="F188" s="5"/>
      <c r="G188" s="5"/>
    </row>
    <row r="189" ht="15.75" customHeight="1">
      <c r="A189" s="4"/>
      <c r="B189" s="4"/>
      <c r="C189" s="5"/>
      <c r="D189" s="5"/>
      <c r="E189" s="5"/>
      <c r="F189" s="5"/>
      <c r="G189" s="5"/>
    </row>
    <row r="190" ht="15.75" customHeight="1">
      <c r="A190" s="4"/>
      <c r="B190" s="4"/>
      <c r="C190" s="5"/>
      <c r="D190" s="5"/>
      <c r="E190" s="5"/>
      <c r="F190" s="5"/>
      <c r="G190" s="5"/>
    </row>
    <row r="191" ht="15.75" customHeight="1">
      <c r="A191" s="4"/>
      <c r="B191" s="4"/>
      <c r="C191" s="5"/>
      <c r="D191" s="5"/>
      <c r="E191" s="5"/>
      <c r="F191" s="5"/>
      <c r="G191" s="5"/>
    </row>
    <row r="192" ht="15.75" customHeight="1">
      <c r="A192" s="4"/>
      <c r="B192" s="4"/>
      <c r="C192" s="5"/>
      <c r="D192" s="5"/>
      <c r="E192" s="5"/>
      <c r="F192" s="5"/>
      <c r="G192" s="5"/>
    </row>
    <row r="193" ht="15.75" customHeight="1">
      <c r="A193" s="4"/>
      <c r="B193" s="4"/>
      <c r="C193" s="5"/>
      <c r="D193" s="5"/>
      <c r="E193" s="5"/>
      <c r="F193" s="5"/>
      <c r="G193" s="5"/>
    </row>
    <row r="194" ht="15.75" customHeight="1">
      <c r="A194" s="4"/>
      <c r="B194" s="4"/>
      <c r="C194" s="5"/>
      <c r="D194" s="5"/>
      <c r="E194" s="5"/>
      <c r="F194" s="5"/>
      <c r="G194" s="5"/>
    </row>
    <row r="195" ht="15.75" customHeight="1">
      <c r="A195" s="4"/>
      <c r="B195" s="4"/>
      <c r="C195" s="5"/>
      <c r="D195" s="5"/>
      <c r="E195" s="5"/>
      <c r="F195" s="5"/>
      <c r="G195" s="5"/>
    </row>
    <row r="196" ht="15.75" customHeight="1">
      <c r="A196" s="4"/>
      <c r="B196" s="4"/>
      <c r="C196" s="5"/>
      <c r="D196" s="5"/>
      <c r="E196" s="5"/>
      <c r="F196" s="5"/>
      <c r="G196" s="5"/>
    </row>
    <row r="197" ht="15.75" customHeight="1">
      <c r="A197" s="4"/>
      <c r="B197" s="4"/>
      <c r="C197" s="5"/>
      <c r="D197" s="5"/>
      <c r="E197" s="5"/>
      <c r="F197" s="5"/>
      <c r="G197" s="5"/>
    </row>
    <row r="198" ht="15.75" customHeight="1">
      <c r="A198" s="4"/>
      <c r="B198" s="4"/>
      <c r="C198" s="5"/>
      <c r="D198" s="5"/>
      <c r="E198" s="5"/>
      <c r="F198" s="5"/>
      <c r="G198" s="5"/>
    </row>
    <row r="199" ht="15.75" customHeight="1">
      <c r="A199" s="4"/>
      <c r="B199" s="4"/>
      <c r="C199" s="5"/>
      <c r="D199" s="5"/>
      <c r="E199" s="5"/>
      <c r="F199" s="5"/>
      <c r="G199" s="5"/>
    </row>
    <row r="200" ht="15.75" customHeight="1">
      <c r="A200" s="4"/>
      <c r="B200" s="4"/>
      <c r="C200" s="5"/>
      <c r="D200" s="5"/>
      <c r="E200" s="5"/>
      <c r="F200" s="5"/>
      <c r="G200" s="5"/>
    </row>
    <row r="201" ht="15.75" customHeight="1">
      <c r="A201" s="4"/>
      <c r="B201" s="4"/>
      <c r="C201" s="5"/>
      <c r="D201" s="5"/>
      <c r="E201" s="5"/>
      <c r="F201" s="5"/>
      <c r="G201" s="5"/>
    </row>
    <row r="202" ht="15.75" customHeight="1">
      <c r="A202" s="4"/>
      <c r="B202" s="4"/>
      <c r="C202" s="5"/>
      <c r="D202" s="5"/>
      <c r="E202" s="5"/>
      <c r="F202" s="5"/>
      <c r="G202" s="5"/>
    </row>
    <row r="203" ht="15.75" customHeight="1">
      <c r="A203" s="4"/>
      <c r="B203" s="4"/>
      <c r="C203" s="5"/>
      <c r="D203" s="5"/>
      <c r="E203" s="5"/>
      <c r="F203" s="5"/>
      <c r="G203" s="5"/>
    </row>
    <row r="204" ht="15.75" customHeight="1">
      <c r="A204" s="4"/>
      <c r="B204" s="4"/>
      <c r="C204" s="5"/>
      <c r="D204" s="5"/>
      <c r="E204" s="5"/>
      <c r="F204" s="5"/>
      <c r="G204" s="5"/>
    </row>
    <row r="205" ht="15.75" customHeight="1">
      <c r="A205" s="4"/>
      <c r="B205" s="4"/>
      <c r="C205" s="5"/>
      <c r="D205" s="5"/>
      <c r="E205" s="5"/>
      <c r="F205" s="5"/>
      <c r="G205" s="5"/>
    </row>
    <row r="206" ht="15.75" customHeight="1">
      <c r="A206" s="4"/>
      <c r="B206" s="4"/>
      <c r="C206" s="5"/>
      <c r="D206" s="5"/>
      <c r="E206" s="5"/>
      <c r="F206" s="5"/>
      <c r="G206" s="5"/>
    </row>
    <row r="207" ht="15.75" customHeight="1">
      <c r="A207" s="4"/>
      <c r="B207" s="4"/>
      <c r="C207" s="5"/>
      <c r="D207" s="5"/>
      <c r="E207" s="5"/>
      <c r="F207" s="5"/>
      <c r="G207" s="5"/>
    </row>
    <row r="208" ht="15.75" customHeight="1">
      <c r="A208" s="4"/>
      <c r="B208" s="4"/>
      <c r="C208" s="5"/>
      <c r="D208" s="5"/>
      <c r="E208" s="5"/>
      <c r="F208" s="5"/>
      <c r="G208" s="5"/>
    </row>
    <row r="209" ht="15.75" customHeight="1">
      <c r="A209" s="4"/>
      <c r="B209" s="4"/>
      <c r="C209" s="5"/>
      <c r="D209" s="5"/>
      <c r="E209" s="5"/>
      <c r="F209" s="5"/>
      <c r="G209" s="5"/>
    </row>
    <row r="210" ht="15.75" customHeight="1">
      <c r="A210" s="4"/>
      <c r="B210" s="4"/>
      <c r="C210" s="5"/>
      <c r="D210" s="5"/>
      <c r="E210" s="5"/>
      <c r="F210" s="5"/>
      <c r="G210" s="5"/>
    </row>
    <row r="211" ht="15.75" customHeight="1">
      <c r="A211" s="4"/>
      <c r="B211" s="4"/>
      <c r="C211" s="5"/>
      <c r="D211" s="5"/>
      <c r="E211" s="5"/>
      <c r="F211" s="5"/>
      <c r="G211" s="5"/>
    </row>
    <row r="212" ht="15.75" customHeight="1">
      <c r="A212" s="4"/>
      <c r="B212" s="4"/>
      <c r="C212" s="5"/>
      <c r="D212" s="5"/>
      <c r="E212" s="5"/>
      <c r="F212" s="5"/>
      <c r="G212" s="5"/>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v>45933.1169102662</v>
      </c>
      <c r="B1" s="2" t="s">
        <v>11</v>
      </c>
      <c r="C1" s="2" t="s">
        <v>12</v>
      </c>
    </row>
    <row r="2" ht="15.75" customHeight="1">
      <c r="A2" s="7">
        <v>45936.58910239583</v>
      </c>
      <c r="B2" s="2" t="s">
        <v>13</v>
      </c>
      <c r="C2" s="2"/>
    </row>
    <row r="3" ht="15.75" customHeight="1">
      <c r="A3" s="7">
        <v>45936.58710114584</v>
      </c>
      <c r="B3" s="2" t="s">
        <v>14</v>
      </c>
      <c r="C3" s="2"/>
    </row>
    <row r="4" ht="15.75" customHeight="1">
      <c r="A4" s="7">
        <v>45936.584116157406</v>
      </c>
      <c r="B4" s="2" t="s">
        <v>15</v>
      </c>
      <c r="C4" s="2"/>
    </row>
    <row r="5" ht="15.75" customHeight="1">
      <c r="A5" s="7">
        <v>45936.58111762731</v>
      </c>
      <c r="B5" s="2" t="s">
        <v>16</v>
      </c>
      <c r="C5" s="2"/>
    </row>
    <row r="6" ht="15.75" customHeight="1">
      <c r="A6" s="7">
        <v>45936.57892013889</v>
      </c>
      <c r="B6" s="2" t="s">
        <v>17</v>
      </c>
      <c r="C6" s="2"/>
    </row>
    <row r="7" ht="15.75" customHeight="1">
      <c r="A7" s="7">
        <v>45936.57543474537</v>
      </c>
      <c r="B7" s="2" t="s">
        <v>15</v>
      </c>
      <c r="C7" s="2"/>
    </row>
    <row r="8" ht="15.75" customHeight="1">
      <c r="A8" s="7">
        <v>45936.572657916666</v>
      </c>
      <c r="B8" s="2" t="s">
        <v>18</v>
      </c>
      <c r="C8" s="2" t="s">
        <v>19</v>
      </c>
      <c r="D8" s="2" t="s">
        <v>20</v>
      </c>
    </row>
    <row r="9" ht="15.75" customHeight="1">
      <c r="A9" s="7">
        <v>45936.56697425926</v>
      </c>
      <c r="B9" s="2" t="s">
        <v>21</v>
      </c>
      <c r="C9" s="2" t="s">
        <v>22</v>
      </c>
      <c r="D9" s="2" t="s">
        <v>23</v>
      </c>
    </row>
    <row r="10" ht="15.75" customHeight="1">
      <c r="A10" s="7"/>
      <c r="B10" s="2"/>
      <c r="C10" s="2"/>
    </row>
    <row r="11" ht="15.75" customHeight="1">
      <c r="A11" s="7">
        <v>45936.56680390047</v>
      </c>
      <c r="B11" s="2" t="s">
        <v>24</v>
      </c>
      <c r="C11" s="2"/>
    </row>
    <row r="12" ht="15.75" customHeight="1">
      <c r="A12" s="7">
        <v>45936.566016550925</v>
      </c>
      <c r="B12" s="2" t="s">
        <v>18</v>
      </c>
      <c r="C12" s="2" t="s">
        <v>22</v>
      </c>
      <c r="D12" s="2" t="s">
        <v>23</v>
      </c>
    </row>
    <row r="13" ht="15.75" customHeight="1">
      <c r="A13" s="7">
        <v>45936.56281829861</v>
      </c>
      <c r="B13" s="2" t="s">
        <v>25</v>
      </c>
      <c r="C13" s="2" t="s">
        <v>26</v>
      </c>
      <c r="D13" s="2" t="s">
        <v>27</v>
      </c>
    </row>
    <row r="14" ht="15.75" customHeight="1">
      <c r="A14" s="7">
        <v>45936.562599780096</v>
      </c>
      <c r="B14" s="2" t="s">
        <v>28</v>
      </c>
      <c r="C14" s="2"/>
    </row>
    <row r="15" ht="15.75" customHeight="1">
      <c r="A15" s="7">
        <v>45936.56211305555</v>
      </c>
      <c r="B15" s="2" t="s">
        <v>18</v>
      </c>
      <c r="C15" s="2" t="s">
        <v>26</v>
      </c>
      <c r="D15" s="2" t="s">
        <v>27</v>
      </c>
    </row>
    <row r="16" ht="15.75" customHeight="1">
      <c r="A16" s="7">
        <v>45933.117339351855</v>
      </c>
      <c r="B16" s="2" t="s">
        <v>25</v>
      </c>
      <c r="C16" s="2" t="s">
        <v>29</v>
      </c>
      <c r="D16" s="2" t="s">
        <v>30</v>
      </c>
    </row>
    <row r="17" ht="15.75" customHeight="1">
      <c r="A17" s="7">
        <v>45933.11703496528</v>
      </c>
      <c r="B17" s="2" t="s">
        <v>31</v>
      </c>
      <c r="C17" s="2"/>
    </row>
    <row r="18" ht="15.75" customHeight="1">
      <c r="A18" s="7">
        <v>45933.1169440625</v>
      </c>
      <c r="B18" s="2" t="s">
        <v>18</v>
      </c>
      <c r="C18" s="2" t="s">
        <v>29</v>
      </c>
      <c r="D18" s="2" t="s">
        <v>30</v>
      </c>
    </row>
    <row r="19" ht="15.75" customHeight="1">
      <c r="A19" s="7">
        <v>45933.116940555556</v>
      </c>
      <c r="B19" s="2" t="s">
        <v>32</v>
      </c>
      <c r="C19" s="2"/>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